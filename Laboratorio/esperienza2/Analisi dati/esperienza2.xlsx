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ricm\Desktop\Laboratorio-di-Ottica\Laboratorio\esperienza2\"/>
    </mc:Choice>
  </mc:AlternateContent>
  <xr:revisionPtr revIDLastSave="0" documentId="13_ncr:1_{432B1F78-5D74-471C-8892-CB7002E429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ametri" sheetId="1" r:id="rId1"/>
    <sheet name="Dati (2)" sheetId="3" r:id="rId2"/>
    <sheet name="Dat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2" i="2"/>
  <c r="D6" i="3"/>
  <c r="J125" i="3"/>
  <c r="F125" i="3"/>
  <c r="I125" i="3" s="1"/>
  <c r="D125" i="3"/>
  <c r="J124" i="3"/>
  <c r="I124" i="3"/>
  <c r="F124" i="3"/>
  <c r="D124" i="3"/>
  <c r="J123" i="3"/>
  <c r="I123" i="3"/>
  <c r="F123" i="3"/>
  <c r="D123" i="3"/>
  <c r="J122" i="3"/>
  <c r="F122" i="3"/>
  <c r="I122" i="3" s="1"/>
  <c r="D122" i="3"/>
  <c r="J121" i="3"/>
  <c r="F121" i="3"/>
  <c r="I121" i="3" s="1"/>
  <c r="D121" i="3"/>
  <c r="J120" i="3"/>
  <c r="F120" i="3"/>
  <c r="I120" i="3" s="1"/>
  <c r="D120" i="3"/>
  <c r="J119" i="3"/>
  <c r="I119" i="3"/>
  <c r="F119" i="3"/>
  <c r="D119" i="3"/>
  <c r="J118" i="3"/>
  <c r="F118" i="3"/>
  <c r="I118" i="3" s="1"/>
  <c r="D118" i="3"/>
  <c r="J117" i="3"/>
  <c r="I117" i="3"/>
  <c r="F117" i="3"/>
  <c r="J116" i="3"/>
  <c r="F116" i="3"/>
  <c r="I116" i="3" s="1"/>
  <c r="J115" i="3"/>
  <c r="F115" i="3"/>
  <c r="I115" i="3" s="1"/>
  <c r="J114" i="3"/>
  <c r="F114" i="3"/>
  <c r="I114" i="3" s="1"/>
  <c r="J113" i="3"/>
  <c r="I113" i="3"/>
  <c r="F113" i="3"/>
  <c r="J112" i="3"/>
  <c r="F112" i="3"/>
  <c r="I112" i="3" s="1"/>
  <c r="J111" i="3"/>
  <c r="I111" i="3"/>
  <c r="F111" i="3"/>
  <c r="J110" i="3"/>
  <c r="F110" i="3"/>
  <c r="I110" i="3" s="1"/>
  <c r="J109" i="3"/>
  <c r="F109" i="3"/>
  <c r="I109" i="3" s="1"/>
  <c r="J108" i="3"/>
  <c r="F108" i="3"/>
  <c r="I108" i="3" s="1"/>
  <c r="J107" i="3"/>
  <c r="I107" i="3"/>
  <c r="F107" i="3"/>
  <c r="J106" i="3"/>
  <c r="F106" i="3"/>
  <c r="I106" i="3" s="1"/>
  <c r="J105" i="3"/>
  <c r="I105" i="3"/>
  <c r="F105" i="3"/>
  <c r="J104" i="3"/>
  <c r="F104" i="3"/>
  <c r="I104" i="3" s="1"/>
  <c r="J103" i="3"/>
  <c r="F103" i="3"/>
  <c r="I103" i="3" s="1"/>
  <c r="J102" i="3"/>
  <c r="F102" i="3"/>
  <c r="I102" i="3" s="1"/>
  <c r="J101" i="3"/>
  <c r="I101" i="3"/>
  <c r="F101" i="3"/>
  <c r="J100" i="3"/>
  <c r="F100" i="3"/>
  <c r="I100" i="3" s="1"/>
  <c r="J99" i="3"/>
  <c r="I99" i="3"/>
  <c r="F99" i="3"/>
  <c r="J98" i="3"/>
  <c r="F98" i="3"/>
  <c r="I98" i="3" s="1"/>
  <c r="J97" i="3"/>
  <c r="F97" i="3"/>
  <c r="I97" i="3" s="1"/>
  <c r="J96" i="3"/>
  <c r="F96" i="3"/>
  <c r="I96" i="3" s="1"/>
  <c r="J95" i="3"/>
  <c r="I95" i="3"/>
  <c r="F95" i="3"/>
  <c r="J94" i="3"/>
  <c r="F94" i="3"/>
  <c r="I94" i="3" s="1"/>
  <c r="J93" i="3"/>
  <c r="I93" i="3"/>
  <c r="F93" i="3"/>
  <c r="J92" i="3"/>
  <c r="F92" i="3"/>
  <c r="I92" i="3" s="1"/>
  <c r="J91" i="3"/>
  <c r="F91" i="3"/>
  <c r="I91" i="3" s="1"/>
  <c r="J90" i="3"/>
  <c r="F90" i="3"/>
  <c r="I90" i="3" s="1"/>
  <c r="J89" i="3"/>
  <c r="F89" i="3"/>
  <c r="I89" i="3" s="1"/>
  <c r="J88" i="3"/>
  <c r="F88" i="3"/>
  <c r="I88" i="3" s="1"/>
  <c r="J87" i="3"/>
  <c r="I87" i="3"/>
  <c r="F87" i="3"/>
  <c r="J86" i="3"/>
  <c r="F86" i="3"/>
  <c r="I86" i="3" s="1"/>
  <c r="J85" i="3"/>
  <c r="I85" i="3"/>
  <c r="F85" i="3"/>
  <c r="J84" i="3"/>
  <c r="F84" i="3"/>
  <c r="I84" i="3" s="1"/>
  <c r="J83" i="3"/>
  <c r="F83" i="3"/>
  <c r="I83" i="3" s="1"/>
  <c r="J82" i="3"/>
  <c r="F82" i="3"/>
  <c r="I82" i="3" s="1"/>
  <c r="J81" i="3"/>
  <c r="I81" i="3"/>
  <c r="F81" i="3"/>
  <c r="J80" i="3"/>
  <c r="F80" i="3"/>
  <c r="I80" i="3" s="1"/>
  <c r="J79" i="3"/>
  <c r="F79" i="3"/>
  <c r="I79" i="3" s="1"/>
  <c r="J78" i="3"/>
  <c r="F78" i="3"/>
  <c r="I78" i="3" s="1"/>
  <c r="J77" i="3"/>
  <c r="F77" i="3"/>
  <c r="I77" i="3" s="1"/>
  <c r="J76" i="3"/>
  <c r="F76" i="3"/>
  <c r="I76" i="3" s="1"/>
  <c r="J75" i="3"/>
  <c r="I75" i="3"/>
  <c r="F75" i="3"/>
  <c r="J74" i="3"/>
  <c r="F74" i="3"/>
  <c r="I74" i="3" s="1"/>
  <c r="J73" i="3"/>
  <c r="I73" i="3"/>
  <c r="F73" i="3"/>
  <c r="J72" i="3"/>
  <c r="F72" i="3"/>
  <c r="I72" i="3" s="1"/>
  <c r="J71" i="3"/>
  <c r="I71" i="3"/>
  <c r="F71" i="3"/>
  <c r="J70" i="3"/>
  <c r="F70" i="3"/>
  <c r="I70" i="3" s="1"/>
  <c r="J69" i="3"/>
  <c r="I69" i="3"/>
  <c r="F69" i="3"/>
  <c r="J68" i="3"/>
  <c r="I68" i="3"/>
  <c r="F68" i="3"/>
  <c r="J67" i="3"/>
  <c r="F67" i="3"/>
  <c r="I67" i="3" s="1"/>
  <c r="J66" i="3"/>
  <c r="F66" i="3"/>
  <c r="I66" i="3" s="1"/>
  <c r="J65" i="3"/>
  <c r="I65" i="3"/>
  <c r="F65" i="3"/>
  <c r="J64" i="3"/>
  <c r="I64" i="3"/>
  <c r="F64" i="3"/>
  <c r="J63" i="3"/>
  <c r="I63" i="3"/>
  <c r="F63" i="3"/>
  <c r="J62" i="3"/>
  <c r="F62" i="3"/>
  <c r="I62" i="3" s="1"/>
  <c r="J61" i="3"/>
  <c r="F61" i="3"/>
  <c r="I61" i="3" s="1"/>
  <c r="J60" i="3"/>
  <c r="I60" i="3"/>
  <c r="F60" i="3"/>
  <c r="J59" i="3"/>
  <c r="I59" i="3"/>
  <c r="F59" i="3"/>
  <c r="J58" i="3"/>
  <c r="F58" i="3"/>
  <c r="I58" i="3" s="1"/>
  <c r="J57" i="3"/>
  <c r="I57" i="3"/>
  <c r="F57" i="3"/>
  <c r="J56" i="3"/>
  <c r="I56" i="3"/>
  <c r="F56" i="3"/>
  <c r="J55" i="3"/>
  <c r="F55" i="3"/>
  <c r="I55" i="3" s="1"/>
  <c r="J54" i="3"/>
  <c r="F54" i="3"/>
  <c r="I54" i="3" s="1"/>
  <c r="J53" i="3"/>
  <c r="I53" i="3"/>
  <c r="F53" i="3"/>
  <c r="J52" i="3"/>
  <c r="I52" i="3"/>
  <c r="F52" i="3"/>
  <c r="J51" i="3"/>
  <c r="I51" i="3"/>
  <c r="F51" i="3"/>
  <c r="J50" i="3"/>
  <c r="F50" i="3"/>
  <c r="I50" i="3" s="1"/>
  <c r="J49" i="3"/>
  <c r="I49" i="3"/>
  <c r="F49" i="3"/>
  <c r="J48" i="3"/>
  <c r="F48" i="3"/>
  <c r="I48" i="3" s="1"/>
  <c r="J47" i="3"/>
  <c r="I47" i="3"/>
  <c r="F47" i="3"/>
  <c r="J46" i="3"/>
  <c r="F46" i="3"/>
  <c r="I46" i="3" s="1"/>
  <c r="J45" i="3"/>
  <c r="I45" i="3"/>
  <c r="F45" i="3"/>
  <c r="J44" i="3"/>
  <c r="F44" i="3"/>
  <c r="I44" i="3" s="1"/>
  <c r="J43" i="3"/>
  <c r="I43" i="3"/>
  <c r="F43" i="3"/>
  <c r="J42" i="3"/>
  <c r="F42" i="3"/>
  <c r="I42" i="3" s="1"/>
  <c r="J41" i="3"/>
  <c r="I41" i="3"/>
  <c r="F41" i="3"/>
  <c r="J40" i="3"/>
  <c r="F40" i="3"/>
  <c r="I40" i="3" s="1"/>
  <c r="J39" i="3"/>
  <c r="I39" i="3"/>
  <c r="F39" i="3"/>
  <c r="J38" i="3"/>
  <c r="F38" i="3"/>
  <c r="I38" i="3" s="1"/>
  <c r="J37" i="3"/>
  <c r="I37" i="3"/>
  <c r="F37" i="3"/>
  <c r="J36" i="3"/>
  <c r="F36" i="3"/>
  <c r="I36" i="3" s="1"/>
  <c r="J35" i="3"/>
  <c r="I35" i="3"/>
  <c r="F35" i="3"/>
  <c r="J34" i="3"/>
  <c r="F34" i="3"/>
  <c r="I34" i="3" s="1"/>
  <c r="J33" i="3"/>
  <c r="I33" i="3"/>
  <c r="F33" i="3"/>
  <c r="J32" i="3"/>
  <c r="F32" i="3"/>
  <c r="I32" i="3" s="1"/>
  <c r="J31" i="3"/>
  <c r="I31" i="3"/>
  <c r="F31" i="3"/>
  <c r="J30" i="3"/>
  <c r="F30" i="3"/>
  <c r="I30" i="3" s="1"/>
  <c r="J29" i="3"/>
  <c r="I29" i="3"/>
  <c r="F29" i="3"/>
  <c r="J28" i="3"/>
  <c r="F28" i="3"/>
  <c r="I28" i="3" s="1"/>
  <c r="J27" i="3"/>
  <c r="I27" i="3"/>
  <c r="F27" i="3"/>
  <c r="J26" i="3"/>
  <c r="F26" i="3"/>
  <c r="I26" i="3" s="1"/>
  <c r="J25" i="3"/>
  <c r="I25" i="3"/>
  <c r="F25" i="3"/>
  <c r="J24" i="3"/>
  <c r="F24" i="3"/>
  <c r="I24" i="3" s="1"/>
  <c r="J23" i="3"/>
  <c r="I23" i="3"/>
  <c r="F23" i="3"/>
  <c r="J22" i="3"/>
  <c r="F22" i="3"/>
  <c r="I22" i="3" s="1"/>
  <c r="J21" i="3"/>
  <c r="I21" i="3"/>
  <c r="F21" i="3"/>
  <c r="D21" i="3"/>
  <c r="J20" i="3"/>
  <c r="F20" i="3"/>
  <c r="I20" i="3" s="1"/>
  <c r="J19" i="3"/>
  <c r="I19" i="3"/>
  <c r="F19" i="3"/>
  <c r="J18" i="3"/>
  <c r="F18" i="3"/>
  <c r="I18" i="3" s="1"/>
  <c r="J17" i="3"/>
  <c r="I17" i="3"/>
  <c r="F17" i="3"/>
  <c r="J16" i="3"/>
  <c r="F16" i="3"/>
  <c r="I16" i="3" s="1"/>
  <c r="J15" i="3"/>
  <c r="I15" i="3"/>
  <c r="F15" i="3"/>
  <c r="J14" i="3"/>
  <c r="F14" i="3"/>
  <c r="I14" i="3" s="1"/>
  <c r="J13" i="3"/>
  <c r="I13" i="3"/>
  <c r="F13" i="3"/>
  <c r="J12" i="3"/>
  <c r="F12" i="3"/>
  <c r="I12" i="3" s="1"/>
  <c r="J11" i="3"/>
  <c r="I11" i="3"/>
  <c r="F11" i="3"/>
  <c r="J10" i="3"/>
  <c r="F10" i="3"/>
  <c r="I10" i="3" s="1"/>
  <c r="D10" i="3"/>
  <c r="J9" i="3"/>
  <c r="I9" i="3"/>
  <c r="F9" i="3"/>
  <c r="J8" i="3"/>
  <c r="F8" i="3"/>
  <c r="I8" i="3" s="1"/>
  <c r="J7" i="3"/>
  <c r="I7" i="3"/>
  <c r="F7" i="3"/>
  <c r="J6" i="3"/>
  <c r="F6" i="3"/>
  <c r="I6" i="3" s="1"/>
  <c r="J5" i="3"/>
  <c r="I5" i="3"/>
  <c r="F5" i="3"/>
  <c r="D5" i="3"/>
  <c r="J4" i="3"/>
  <c r="F4" i="3"/>
  <c r="I4" i="3" s="1"/>
  <c r="D4" i="3"/>
  <c r="J3" i="3"/>
  <c r="I3" i="3"/>
  <c r="F3" i="3"/>
  <c r="D3" i="3"/>
  <c r="A3" i="3"/>
  <c r="A4" i="3" s="1"/>
  <c r="J2" i="3"/>
  <c r="F2" i="3"/>
  <c r="I2" i="3" s="1"/>
  <c r="D2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5" i="3" l="1"/>
  <c r="A6" i="3" l="1"/>
  <c r="A7" i="3" l="1"/>
  <c r="A8" i="3" l="1"/>
  <c r="A9" i="3" l="1"/>
  <c r="A10" i="3" l="1"/>
  <c r="A11" i="3" l="1"/>
  <c r="A12" i="3" l="1"/>
  <c r="A13" i="3" l="1"/>
  <c r="A14" i="3" l="1"/>
  <c r="A15" i="3" l="1"/>
  <c r="A16" i="3" l="1"/>
  <c r="A17" i="3" l="1"/>
  <c r="A18" i="3" l="1"/>
  <c r="A19" i="3" l="1"/>
  <c r="A20" i="3" l="1"/>
  <c r="A21" i="3" l="1"/>
  <c r="A22" i="3" l="1"/>
  <c r="A23" i="3" l="1"/>
  <c r="A24" i="3" l="1"/>
  <c r="A25" i="3" l="1"/>
  <c r="A26" i="3" l="1"/>
  <c r="A27" i="3" l="1"/>
  <c r="A28" i="3" l="1"/>
  <c r="A29" i="3" l="1"/>
  <c r="A30" i="3" l="1"/>
  <c r="A31" i="3" l="1"/>
  <c r="A32" i="3" l="1"/>
  <c r="A33" i="3" l="1"/>
  <c r="A34" i="3" l="1"/>
  <c r="A35" i="3" l="1"/>
  <c r="A36" i="3" l="1"/>
  <c r="A37" i="3" l="1"/>
  <c r="A38" i="3" l="1"/>
  <c r="A39" i="3" l="1"/>
  <c r="A40" i="3" l="1"/>
  <c r="A41" i="3" l="1"/>
  <c r="A42" i="3" l="1"/>
  <c r="A43" i="3" l="1"/>
  <c r="A44" i="3" l="1"/>
  <c r="A45" i="3" l="1"/>
  <c r="A46" i="3" l="1"/>
  <c r="A47" i="3" l="1"/>
  <c r="A48" i="3" l="1"/>
  <c r="A49" i="3" l="1"/>
  <c r="A50" i="3" l="1"/>
  <c r="A51" i="3" l="1"/>
  <c r="A52" i="3" l="1"/>
  <c r="A53" i="3" l="1"/>
  <c r="A54" i="3" l="1"/>
  <c r="A55" i="3" l="1"/>
  <c r="A56" i="3" l="1"/>
  <c r="A57" i="3" l="1"/>
  <c r="A58" i="3" l="1"/>
  <c r="A59" i="3" l="1"/>
  <c r="A60" i="3" l="1"/>
  <c r="A61" i="3" l="1"/>
  <c r="A62" i="3" l="1"/>
  <c r="A63" i="3" l="1"/>
  <c r="A64" i="3" l="1"/>
  <c r="A65" i="3" l="1"/>
  <c r="A66" i="3" l="1"/>
  <c r="A67" i="3" l="1"/>
  <c r="A68" i="3" l="1"/>
  <c r="A69" i="3" l="1"/>
  <c r="A70" i="3" l="1"/>
  <c r="A71" i="3" l="1"/>
  <c r="A72" i="3" l="1"/>
  <c r="A73" i="3" l="1"/>
  <c r="A74" i="3" l="1"/>
  <c r="A75" i="3" l="1"/>
  <c r="A76" i="3" l="1"/>
  <c r="A77" i="3" l="1"/>
  <c r="A78" i="3" l="1"/>
  <c r="A79" i="3" l="1"/>
  <c r="A80" i="3" l="1"/>
  <c r="A81" i="3" l="1"/>
  <c r="A82" i="3" l="1"/>
  <c r="A83" i="3" l="1"/>
  <c r="A84" i="3" l="1"/>
  <c r="A85" i="3" l="1"/>
  <c r="A86" i="3" l="1"/>
  <c r="A87" i="3" l="1"/>
  <c r="A88" i="3" l="1"/>
  <c r="A89" i="3" l="1"/>
  <c r="A90" i="3" l="1"/>
  <c r="A91" i="3" l="1"/>
  <c r="A92" i="3" l="1"/>
  <c r="A93" i="3" l="1"/>
  <c r="A94" i="3" l="1"/>
  <c r="A95" i="3" l="1"/>
  <c r="A96" i="3" l="1"/>
  <c r="A97" i="3" l="1"/>
  <c r="A98" i="3" l="1"/>
  <c r="A99" i="3" l="1"/>
  <c r="A100" i="3" l="1"/>
  <c r="A101" i="3" l="1"/>
  <c r="A102" i="3" l="1"/>
  <c r="A103" i="3" l="1"/>
  <c r="A104" i="3" l="1"/>
  <c r="A105" i="3" l="1"/>
  <c r="A106" i="3" l="1"/>
  <c r="A107" i="3" l="1"/>
  <c r="A108" i="3" l="1"/>
  <c r="A109" i="3" l="1"/>
  <c r="A110" i="3" l="1"/>
  <c r="A111" i="3" l="1"/>
  <c r="A112" i="3" l="1"/>
  <c r="A113" i="3" l="1"/>
  <c r="A114" i="3" l="1"/>
  <c r="A115" i="3" l="1"/>
  <c r="A116" i="3" l="1"/>
  <c r="A117" i="3" l="1"/>
  <c r="A118" i="3" l="1"/>
  <c r="A119" i="3" l="1"/>
  <c r="A120" i="3" l="1"/>
  <c r="A121" i="3" l="1"/>
  <c r="A122" i="3" l="1"/>
  <c r="A123" i="3" l="1"/>
  <c r="A124" i="3" l="1"/>
  <c r="A125" i="3" l="1"/>
  <c r="D14" i="2" l="1"/>
  <c r="D62" i="2"/>
  <c r="D68" i="2"/>
  <c r="D74" i="2"/>
  <c r="D92" i="2"/>
  <c r="D104" i="2"/>
  <c r="D110" i="2"/>
  <c r="D122" i="2"/>
  <c r="D128" i="2"/>
  <c r="E3" i="2" a="1"/>
  <c r="E3" i="2" s="1"/>
  <c r="D3" i="2" s="1"/>
  <c r="E4" i="2" a="1"/>
  <c r="E4" i="2"/>
  <c r="D4" i="2" s="1"/>
  <c r="E5" i="2" a="1"/>
  <c r="E5" i="2" s="1"/>
  <c r="D5" i="2" s="1"/>
  <c r="E6" i="2" a="1"/>
  <c r="E6" i="2" s="1"/>
  <c r="D6" i="2" s="1"/>
  <c r="E7" i="2" a="1"/>
  <c r="E7" i="2" s="1"/>
  <c r="D7" i="2" s="1"/>
  <c r="E8" i="2" a="1"/>
  <c r="E8" i="2" s="1"/>
  <c r="D8" i="2" s="1"/>
  <c r="E9" i="2" a="1"/>
  <c r="E9" i="2" s="1"/>
  <c r="D9" i="2" s="1"/>
  <c r="E10" i="2" a="1"/>
  <c r="E10" i="2" s="1"/>
  <c r="D10" i="2" s="1"/>
  <c r="E11" i="2" a="1"/>
  <c r="E11" i="2" s="1"/>
  <c r="D11" i="2" s="1"/>
  <c r="E12" i="2" a="1"/>
  <c r="E12" i="2" s="1"/>
  <c r="D12" i="2" s="1"/>
  <c r="E13" i="2" a="1"/>
  <c r="E13" i="2"/>
  <c r="D13" i="2" s="1"/>
  <c r="E14" i="2" a="1"/>
  <c r="E14" i="2" s="1"/>
  <c r="E15" i="2" a="1"/>
  <c r="E15" i="2" s="1"/>
  <c r="D15" i="2" s="1"/>
  <c r="E16" i="2" a="1"/>
  <c r="E16" i="2" s="1"/>
  <c r="D16" i="2" s="1"/>
  <c r="E17" i="2" a="1"/>
  <c r="E17" i="2" s="1"/>
  <c r="D17" i="2" s="1"/>
  <c r="E18" i="2" a="1"/>
  <c r="E18" i="2" s="1"/>
  <c r="D18" i="2" s="1"/>
  <c r="E19" i="2" a="1"/>
  <c r="E19" i="2"/>
  <c r="D19" i="2" s="1"/>
  <c r="E20" i="2" a="1"/>
  <c r="E20" i="2" s="1"/>
  <c r="D20" i="2" s="1"/>
  <c r="E21" i="2" a="1"/>
  <c r="E21" i="2" s="1"/>
  <c r="D21" i="2" s="1"/>
  <c r="E22" i="2" a="1"/>
  <c r="E22" i="2"/>
  <c r="D22" i="2" s="1"/>
  <c r="E23" i="2" a="1"/>
  <c r="E23" i="2" s="1"/>
  <c r="D23" i="2" s="1"/>
  <c r="E24" i="2" a="1"/>
  <c r="E24" i="2" s="1"/>
  <c r="D24" i="2" s="1"/>
  <c r="E25" i="2" a="1"/>
  <c r="E25" i="2" s="1"/>
  <c r="D25" i="2" s="1"/>
  <c r="E26" i="2" a="1"/>
  <c r="E26" i="2" s="1"/>
  <c r="D26" i="2" s="1"/>
  <c r="E27" i="2" a="1"/>
  <c r="E27" i="2" s="1"/>
  <c r="D27" i="2" s="1"/>
  <c r="E28" i="2" a="1"/>
  <c r="E28" i="2" s="1"/>
  <c r="D28" i="2" s="1"/>
  <c r="E29" i="2" a="1"/>
  <c r="E29" i="2" s="1"/>
  <c r="D29" i="2" s="1"/>
  <c r="E30" i="2" a="1"/>
  <c r="E30" i="2" s="1"/>
  <c r="D30" i="2" s="1"/>
  <c r="E31" i="2" a="1"/>
  <c r="E31" i="2"/>
  <c r="D31" i="2" s="1"/>
  <c r="E32" i="2" a="1"/>
  <c r="E32" i="2" s="1"/>
  <c r="D32" i="2" s="1"/>
  <c r="E33" i="2" a="1"/>
  <c r="E33" i="2" s="1"/>
  <c r="D33" i="2" s="1"/>
  <c r="E34" i="2" a="1"/>
  <c r="E34" i="2" s="1"/>
  <c r="D34" i="2" s="1"/>
  <c r="E35" i="2" a="1"/>
  <c r="E35" i="2" s="1"/>
  <c r="D35" i="2" s="1"/>
  <c r="E36" i="2" a="1"/>
  <c r="E36" i="2" s="1"/>
  <c r="D36" i="2" s="1"/>
  <c r="E37" i="2" a="1"/>
  <c r="E37" i="2"/>
  <c r="D37" i="2" s="1"/>
  <c r="E38" i="2" a="1"/>
  <c r="E38" i="2" s="1"/>
  <c r="D38" i="2" s="1"/>
  <c r="E39" i="2" a="1"/>
  <c r="E39" i="2" s="1"/>
  <c r="D39" i="2" s="1"/>
  <c r="E40" i="2" a="1"/>
  <c r="E40" i="2"/>
  <c r="D40" i="2" s="1"/>
  <c r="E41" i="2" a="1"/>
  <c r="E41" i="2" s="1"/>
  <c r="D41" i="2" s="1"/>
  <c r="E42" i="2" a="1"/>
  <c r="E42" i="2" s="1"/>
  <c r="D42" i="2" s="1"/>
  <c r="E43" i="2" a="1"/>
  <c r="E43" i="2" s="1"/>
  <c r="D43" i="2" s="1"/>
  <c r="E44" i="2" a="1"/>
  <c r="E44" i="2" s="1"/>
  <c r="D44" i="2" s="1"/>
  <c r="E45" i="2" a="1"/>
  <c r="E45" i="2" s="1"/>
  <c r="D45" i="2" s="1"/>
  <c r="E46" i="2" a="1"/>
  <c r="E46" i="2" s="1"/>
  <c r="D46" i="2" s="1"/>
  <c r="E47" i="2" a="1"/>
  <c r="E47" i="2" s="1"/>
  <c r="D47" i="2" s="1"/>
  <c r="E48" i="2" a="1"/>
  <c r="E48" i="2" s="1"/>
  <c r="D48" i="2" s="1"/>
  <c r="E49" i="2" a="1"/>
  <c r="E49" i="2"/>
  <c r="D49" i="2" s="1"/>
  <c r="E50" i="2" a="1"/>
  <c r="E50" i="2" s="1"/>
  <c r="D50" i="2" s="1"/>
  <c r="E51" i="2" a="1"/>
  <c r="E51" i="2" s="1"/>
  <c r="D51" i="2" s="1"/>
  <c r="E52" i="2" a="1"/>
  <c r="E52" i="2" s="1"/>
  <c r="D52" i="2" s="1"/>
  <c r="E53" i="2" a="1"/>
  <c r="E53" i="2" s="1"/>
  <c r="D53" i="2" s="1"/>
  <c r="E54" i="2" a="1"/>
  <c r="E54" i="2" s="1"/>
  <c r="D54" i="2" s="1"/>
  <c r="E55" i="2" a="1"/>
  <c r="E55" i="2"/>
  <c r="D55" i="2" s="1"/>
  <c r="E56" i="2" a="1"/>
  <c r="E56" i="2" s="1"/>
  <c r="D56" i="2" s="1"/>
  <c r="E57" i="2" a="1"/>
  <c r="E57" i="2" s="1"/>
  <c r="D57" i="2" s="1"/>
  <c r="E58" i="2" a="1"/>
  <c r="E58" i="2"/>
  <c r="D58" i="2" s="1"/>
  <c r="E59" i="2" a="1"/>
  <c r="E59" i="2" s="1"/>
  <c r="D59" i="2" s="1"/>
  <c r="E60" i="2" a="1"/>
  <c r="E60" i="2" s="1"/>
  <c r="D60" i="2" s="1"/>
  <c r="E61" i="2" a="1"/>
  <c r="E61" i="2"/>
  <c r="D61" i="2" s="1"/>
  <c r="E62" i="2" a="1"/>
  <c r="E62" i="2"/>
  <c r="E63" i="2" a="1"/>
  <c r="E63" i="2" s="1"/>
  <c r="D63" i="2" s="1"/>
  <c r="E64" i="2" a="1"/>
  <c r="E64" i="2" s="1"/>
  <c r="D64" i="2" s="1"/>
  <c r="E65" i="2" a="1"/>
  <c r="E65" i="2"/>
  <c r="D65" i="2" s="1"/>
  <c r="E66" i="2" a="1"/>
  <c r="E66" i="2" s="1"/>
  <c r="D66" i="2" s="1"/>
  <c r="E67" i="2" a="1"/>
  <c r="E67" i="2"/>
  <c r="D67" i="2" s="1"/>
  <c r="E68" i="2" a="1"/>
  <c r="E68" i="2" s="1"/>
  <c r="E69" i="2" a="1"/>
  <c r="E69" i="2" s="1"/>
  <c r="D69" i="2" s="1"/>
  <c r="E70" i="2" a="1"/>
  <c r="E70" i="2" s="1"/>
  <c r="D70" i="2" s="1"/>
  <c r="E71" i="2" a="1"/>
  <c r="E71" i="2" s="1"/>
  <c r="D71" i="2" s="1"/>
  <c r="E72" i="2" a="1"/>
  <c r="E72" i="2" s="1"/>
  <c r="D72" i="2" s="1"/>
  <c r="E73" i="2" a="1"/>
  <c r="E73" i="2" s="1"/>
  <c r="D73" i="2" s="1"/>
  <c r="E74" i="2" a="1"/>
  <c r="E74" i="2"/>
  <c r="E75" i="2" a="1"/>
  <c r="E75" i="2" s="1"/>
  <c r="D75" i="2" s="1"/>
  <c r="E76" i="2" a="1"/>
  <c r="E76" i="2"/>
  <c r="D76" i="2" s="1"/>
  <c r="E77" i="2" a="1"/>
  <c r="E77" i="2" s="1"/>
  <c r="D77" i="2" s="1"/>
  <c r="E78" i="2" a="1"/>
  <c r="E78" i="2" s="1"/>
  <c r="D78" i="2" s="1"/>
  <c r="E79" i="2" a="1"/>
  <c r="E79" i="2" s="1"/>
  <c r="D79" i="2" s="1"/>
  <c r="E80" i="2" a="1"/>
  <c r="E80" i="2"/>
  <c r="D80" i="2" s="1"/>
  <c r="E81" i="2" a="1"/>
  <c r="E81" i="2" s="1"/>
  <c r="D81" i="2" s="1"/>
  <c r="E82" i="2" a="1"/>
  <c r="E82" i="2" s="1"/>
  <c r="D82" i="2" s="1"/>
  <c r="E83" i="2" a="1"/>
  <c r="E83" i="2" s="1"/>
  <c r="D83" i="2" s="1"/>
  <c r="E84" i="2" a="1"/>
  <c r="E84" i="2" s="1"/>
  <c r="D84" i="2" s="1"/>
  <c r="E85" i="2" a="1"/>
  <c r="E85" i="2" s="1"/>
  <c r="D85" i="2" s="1"/>
  <c r="E86" i="2" a="1"/>
  <c r="E86" i="2" s="1"/>
  <c r="D86" i="2" s="1"/>
  <c r="E87" i="2" a="1"/>
  <c r="E87" i="2" s="1"/>
  <c r="D87" i="2" s="1"/>
  <c r="E88" i="2" a="1"/>
  <c r="E88" i="2" s="1"/>
  <c r="D88" i="2" s="1"/>
  <c r="E89" i="2" a="1"/>
  <c r="E89" i="2" s="1"/>
  <c r="D89" i="2" s="1"/>
  <c r="E90" i="2" a="1"/>
  <c r="E90" i="2" s="1"/>
  <c r="D90" i="2" s="1"/>
  <c r="E91" i="2" a="1"/>
  <c r="E91" i="2" s="1"/>
  <c r="D91" i="2" s="1"/>
  <c r="E92" i="2" a="1"/>
  <c r="E92" i="2"/>
  <c r="E93" i="2" a="1"/>
  <c r="E93" i="2" s="1"/>
  <c r="D93" i="2" s="1"/>
  <c r="E94" i="2" a="1"/>
  <c r="E94" i="2" s="1"/>
  <c r="D94" i="2" s="1"/>
  <c r="E95" i="2" a="1"/>
  <c r="E95" i="2" s="1"/>
  <c r="D95" i="2" s="1"/>
  <c r="E96" i="2" a="1"/>
  <c r="E96" i="2" s="1"/>
  <c r="D96" i="2" s="1"/>
  <c r="E97" i="2" a="1"/>
  <c r="E97" i="2" s="1"/>
  <c r="D97" i="2" s="1"/>
  <c r="E98" i="2" a="1"/>
  <c r="E98" i="2" s="1"/>
  <c r="D98" i="2" s="1"/>
  <c r="E99" i="2" a="1"/>
  <c r="E99" i="2" s="1"/>
  <c r="D99" i="2" s="1"/>
  <c r="E100" i="2" a="1"/>
  <c r="E100" i="2" s="1"/>
  <c r="D100" i="2" s="1"/>
  <c r="E101" i="2" a="1"/>
  <c r="E101" i="2"/>
  <c r="D101" i="2" s="1"/>
  <c r="E102" i="2" a="1"/>
  <c r="E102" i="2" s="1"/>
  <c r="D102" i="2" s="1"/>
  <c r="E103" i="2" a="1"/>
  <c r="E103" i="2" s="1"/>
  <c r="D103" i="2" s="1"/>
  <c r="E104" i="2" a="1"/>
  <c r="E104" i="2" s="1"/>
  <c r="E105" i="2" a="1"/>
  <c r="E105" i="2" s="1"/>
  <c r="D105" i="2" s="1"/>
  <c r="E106" i="2" a="1"/>
  <c r="E106" i="2" s="1"/>
  <c r="D106" i="2" s="1"/>
  <c r="E107" i="2" a="1"/>
  <c r="E107" i="2" s="1"/>
  <c r="D107" i="2" s="1"/>
  <c r="E108" i="2" a="1"/>
  <c r="E108" i="2" s="1"/>
  <c r="D108" i="2" s="1"/>
  <c r="E109" i="2" a="1"/>
  <c r="E109" i="2" s="1"/>
  <c r="D109" i="2" s="1"/>
  <c r="E110" i="2" a="1"/>
  <c r="E110" i="2"/>
  <c r="E111" i="2" a="1"/>
  <c r="E111" i="2" s="1"/>
  <c r="D111" i="2" s="1"/>
  <c r="E112" i="2" a="1"/>
  <c r="E112" i="2" s="1"/>
  <c r="D112" i="2" s="1"/>
  <c r="E113" i="2" a="1"/>
  <c r="E113" i="2" s="1"/>
  <c r="D113" i="2" s="1"/>
  <c r="E114" i="2" a="1"/>
  <c r="E114" i="2" s="1"/>
  <c r="D114" i="2" s="1"/>
  <c r="E115" i="2" a="1"/>
  <c r="E115" i="2" s="1"/>
  <c r="D115" i="2" s="1"/>
  <c r="E116" i="2" a="1"/>
  <c r="E116" i="2" s="1"/>
  <c r="D116" i="2" s="1"/>
  <c r="E117" i="2" a="1"/>
  <c r="E117" i="2" s="1"/>
  <c r="D117" i="2" s="1"/>
  <c r="E118" i="2" a="1"/>
  <c r="E118" i="2" s="1"/>
  <c r="D118" i="2" s="1"/>
  <c r="E119" i="2" a="1"/>
  <c r="E119" i="2"/>
  <c r="D119" i="2" s="1"/>
  <c r="E120" i="2" a="1"/>
  <c r="E120" i="2" s="1"/>
  <c r="D120" i="2" s="1"/>
  <c r="E121" i="2" a="1"/>
  <c r="E121" i="2" s="1"/>
  <c r="D121" i="2" s="1"/>
  <c r="E122" i="2" a="1"/>
  <c r="E122" i="2" s="1"/>
  <c r="E123" i="2" a="1"/>
  <c r="E123" i="2" s="1"/>
  <c r="D123" i="2" s="1"/>
  <c r="E124" i="2" a="1"/>
  <c r="E124" i="2" s="1"/>
  <c r="D124" i="2" s="1"/>
  <c r="E125" i="2" a="1"/>
  <c r="E125" i="2" s="1"/>
  <c r="D125" i="2" s="1"/>
  <c r="E126" i="2" a="1"/>
  <c r="E126" i="2" s="1"/>
  <c r="D126" i="2" s="1"/>
  <c r="E127" i="2" a="1"/>
  <c r="E127" i="2" s="1"/>
  <c r="D127" i="2" s="1"/>
  <c r="E128" i="2" a="1"/>
  <c r="E128" i="2"/>
  <c r="E129" i="2" a="1"/>
  <c r="E129" i="2" s="1"/>
  <c r="D129" i="2" s="1"/>
  <c r="E130" i="2" a="1"/>
  <c r="E130" i="2" s="1"/>
  <c r="D130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2" i="2"/>
  <c r="D11" i="1"/>
  <c r="D8" i="1"/>
  <c r="F91" i="2" s="1"/>
  <c r="I91" i="2" s="1"/>
  <c r="C11" i="1"/>
  <c r="C8" i="1"/>
  <c r="F97" i="2" l="1"/>
  <c r="I97" i="2" s="1"/>
  <c r="F61" i="2"/>
  <c r="I61" i="2" s="1"/>
  <c r="F127" i="2"/>
  <c r="I127" i="2" s="1"/>
  <c r="J3" i="2"/>
  <c r="J9" i="2"/>
  <c r="J15" i="2"/>
  <c r="J21" i="2"/>
  <c r="J27" i="2"/>
  <c r="J33" i="2"/>
  <c r="J39" i="2"/>
  <c r="J45" i="2"/>
  <c r="J51" i="2"/>
  <c r="J57" i="2"/>
  <c r="J63" i="2"/>
  <c r="J69" i="2"/>
  <c r="J75" i="2"/>
  <c r="J81" i="2"/>
  <c r="J87" i="2"/>
  <c r="J93" i="2"/>
  <c r="J99" i="2"/>
  <c r="J105" i="2"/>
  <c r="J111" i="2"/>
  <c r="J117" i="2"/>
  <c r="J123" i="2"/>
  <c r="J129" i="2"/>
  <c r="F8" i="2"/>
  <c r="I8" i="2" s="1"/>
  <c r="F14" i="2"/>
  <c r="I14" i="2" s="1"/>
  <c r="F20" i="2"/>
  <c r="I20" i="2" s="1"/>
  <c r="F26" i="2"/>
  <c r="I26" i="2" s="1"/>
  <c r="F32" i="2"/>
  <c r="I32" i="2" s="1"/>
  <c r="F38" i="2"/>
  <c r="I38" i="2" s="1"/>
  <c r="F44" i="2"/>
  <c r="I44" i="2" s="1"/>
  <c r="F50" i="2"/>
  <c r="I50" i="2" s="1"/>
  <c r="F56" i="2"/>
  <c r="I56" i="2" s="1"/>
  <c r="F62" i="2"/>
  <c r="I62" i="2" s="1"/>
  <c r="F68" i="2"/>
  <c r="I68" i="2" s="1"/>
  <c r="F74" i="2"/>
  <c r="I74" i="2" s="1"/>
  <c r="F80" i="2"/>
  <c r="I80" i="2" s="1"/>
  <c r="F86" i="2"/>
  <c r="I86" i="2" s="1"/>
  <c r="F92" i="2"/>
  <c r="I92" i="2" s="1"/>
  <c r="F98" i="2"/>
  <c r="I98" i="2" s="1"/>
  <c r="F104" i="2"/>
  <c r="I104" i="2" s="1"/>
  <c r="F110" i="2"/>
  <c r="I110" i="2" s="1"/>
  <c r="F116" i="2"/>
  <c r="I116" i="2" s="1"/>
  <c r="F122" i="2"/>
  <c r="I122" i="2" s="1"/>
  <c r="F128" i="2"/>
  <c r="I128" i="2" s="1"/>
  <c r="J4" i="2"/>
  <c r="J10" i="2"/>
  <c r="J16" i="2"/>
  <c r="J22" i="2"/>
  <c r="J28" i="2"/>
  <c r="J34" i="2"/>
  <c r="J40" i="2"/>
  <c r="J46" i="2"/>
  <c r="J52" i="2"/>
  <c r="J58" i="2"/>
  <c r="J64" i="2"/>
  <c r="J70" i="2"/>
  <c r="J76" i="2"/>
  <c r="J82" i="2"/>
  <c r="J88" i="2"/>
  <c r="J94" i="2"/>
  <c r="J100" i="2"/>
  <c r="J106" i="2"/>
  <c r="J112" i="2"/>
  <c r="J118" i="2"/>
  <c r="J124" i="2"/>
  <c r="J130" i="2"/>
  <c r="F3" i="2"/>
  <c r="I3" i="2" s="1"/>
  <c r="F9" i="2"/>
  <c r="I9" i="2" s="1"/>
  <c r="F15" i="2"/>
  <c r="I15" i="2" s="1"/>
  <c r="F21" i="2"/>
  <c r="I21" i="2" s="1"/>
  <c r="F27" i="2"/>
  <c r="I27" i="2" s="1"/>
  <c r="F33" i="2"/>
  <c r="I33" i="2" s="1"/>
  <c r="F39" i="2"/>
  <c r="I39" i="2" s="1"/>
  <c r="F45" i="2"/>
  <c r="I45" i="2" s="1"/>
  <c r="F51" i="2"/>
  <c r="I51" i="2" s="1"/>
  <c r="F57" i="2"/>
  <c r="I57" i="2" s="1"/>
  <c r="F63" i="2"/>
  <c r="I63" i="2" s="1"/>
  <c r="F69" i="2"/>
  <c r="I69" i="2" s="1"/>
  <c r="F75" i="2"/>
  <c r="I75" i="2" s="1"/>
  <c r="F81" i="2"/>
  <c r="I81" i="2" s="1"/>
  <c r="F87" i="2"/>
  <c r="I87" i="2" s="1"/>
  <c r="F93" i="2"/>
  <c r="I93" i="2" s="1"/>
  <c r="F99" i="2"/>
  <c r="I99" i="2" s="1"/>
  <c r="F105" i="2"/>
  <c r="I105" i="2" s="1"/>
  <c r="F111" i="2"/>
  <c r="I111" i="2" s="1"/>
  <c r="F117" i="2"/>
  <c r="I117" i="2" s="1"/>
  <c r="F123" i="2"/>
  <c r="I123" i="2" s="1"/>
  <c r="F129" i="2"/>
  <c r="I129" i="2" s="1"/>
  <c r="J5" i="2"/>
  <c r="J11" i="2"/>
  <c r="J17" i="2"/>
  <c r="J23" i="2"/>
  <c r="J29" i="2"/>
  <c r="J35" i="2"/>
  <c r="J41" i="2"/>
  <c r="J47" i="2"/>
  <c r="J53" i="2"/>
  <c r="J59" i="2"/>
  <c r="J65" i="2"/>
  <c r="J71" i="2"/>
  <c r="J77" i="2"/>
  <c r="J83" i="2"/>
  <c r="J89" i="2"/>
  <c r="J95" i="2"/>
  <c r="J101" i="2"/>
  <c r="J107" i="2"/>
  <c r="J113" i="2"/>
  <c r="J119" i="2"/>
  <c r="J125" i="2"/>
  <c r="F4" i="2"/>
  <c r="I4" i="2" s="1"/>
  <c r="F10" i="2"/>
  <c r="I10" i="2" s="1"/>
  <c r="F16" i="2"/>
  <c r="I16" i="2" s="1"/>
  <c r="F22" i="2"/>
  <c r="I22" i="2" s="1"/>
  <c r="F28" i="2"/>
  <c r="I28" i="2" s="1"/>
  <c r="F34" i="2"/>
  <c r="I34" i="2" s="1"/>
  <c r="F40" i="2"/>
  <c r="I40" i="2" s="1"/>
  <c r="F46" i="2"/>
  <c r="I46" i="2" s="1"/>
  <c r="F52" i="2"/>
  <c r="I52" i="2" s="1"/>
  <c r="F58" i="2"/>
  <c r="I58" i="2" s="1"/>
  <c r="F64" i="2"/>
  <c r="I64" i="2" s="1"/>
  <c r="F70" i="2"/>
  <c r="I70" i="2" s="1"/>
  <c r="F76" i="2"/>
  <c r="I76" i="2" s="1"/>
  <c r="F82" i="2"/>
  <c r="I82" i="2" s="1"/>
  <c r="F88" i="2"/>
  <c r="I88" i="2" s="1"/>
  <c r="F94" i="2"/>
  <c r="I94" i="2" s="1"/>
  <c r="F100" i="2"/>
  <c r="I100" i="2" s="1"/>
  <c r="F106" i="2"/>
  <c r="I106" i="2" s="1"/>
  <c r="F112" i="2"/>
  <c r="I112" i="2" s="1"/>
  <c r="F118" i="2"/>
  <c r="I118" i="2" s="1"/>
  <c r="F124" i="2"/>
  <c r="I124" i="2" s="1"/>
  <c r="F130" i="2"/>
  <c r="I130" i="2" s="1"/>
  <c r="J2" i="2"/>
  <c r="F6" i="2"/>
  <c r="I6" i="2" s="1"/>
  <c r="F18" i="2"/>
  <c r="I18" i="2" s="1"/>
  <c r="F30" i="2"/>
  <c r="I30" i="2" s="1"/>
  <c r="F42" i="2"/>
  <c r="I42" i="2" s="1"/>
  <c r="F54" i="2"/>
  <c r="I54" i="2" s="1"/>
  <c r="F66" i="2"/>
  <c r="I66" i="2" s="1"/>
  <c r="F78" i="2"/>
  <c r="I78" i="2" s="1"/>
  <c r="F90" i="2"/>
  <c r="I90" i="2" s="1"/>
  <c r="F102" i="2"/>
  <c r="I102" i="2" s="1"/>
  <c r="F114" i="2"/>
  <c r="I114" i="2" s="1"/>
  <c r="F126" i="2"/>
  <c r="I126" i="2" s="1"/>
  <c r="J8" i="2"/>
  <c r="J14" i="2"/>
  <c r="J20" i="2"/>
  <c r="J26" i="2"/>
  <c r="J32" i="2"/>
  <c r="J38" i="2"/>
  <c r="J44" i="2"/>
  <c r="J50" i="2"/>
  <c r="J56" i="2"/>
  <c r="J62" i="2"/>
  <c r="J68" i="2"/>
  <c r="J74" i="2"/>
  <c r="J80" i="2"/>
  <c r="J86" i="2"/>
  <c r="J92" i="2"/>
  <c r="J98" i="2"/>
  <c r="J104" i="2"/>
  <c r="J110" i="2"/>
  <c r="J116" i="2"/>
  <c r="J122" i="2"/>
  <c r="J128" i="2"/>
  <c r="F7" i="2"/>
  <c r="I7" i="2" s="1"/>
  <c r="F13" i="2"/>
  <c r="I13" i="2" s="1"/>
  <c r="F19" i="2"/>
  <c r="I19" i="2" s="1"/>
  <c r="F25" i="2"/>
  <c r="I25" i="2" s="1"/>
  <c r="F31" i="2"/>
  <c r="I31" i="2" s="1"/>
  <c r="F37" i="2"/>
  <c r="I37" i="2" s="1"/>
  <c r="F43" i="2"/>
  <c r="I43" i="2" s="1"/>
  <c r="F49" i="2"/>
  <c r="I49" i="2" s="1"/>
  <c r="F55" i="2"/>
  <c r="I55" i="2" s="1"/>
  <c r="J6" i="2"/>
  <c r="J12" i="2"/>
  <c r="J18" i="2"/>
  <c r="J24" i="2"/>
  <c r="J30" i="2"/>
  <c r="J36" i="2"/>
  <c r="J42" i="2"/>
  <c r="J48" i="2"/>
  <c r="J54" i="2"/>
  <c r="J60" i="2"/>
  <c r="J66" i="2"/>
  <c r="J72" i="2"/>
  <c r="J78" i="2"/>
  <c r="J84" i="2"/>
  <c r="J90" i="2"/>
  <c r="J96" i="2"/>
  <c r="J102" i="2"/>
  <c r="J108" i="2"/>
  <c r="J114" i="2"/>
  <c r="J120" i="2"/>
  <c r="J126" i="2"/>
  <c r="F5" i="2"/>
  <c r="I5" i="2" s="1"/>
  <c r="F11" i="2"/>
  <c r="I11" i="2" s="1"/>
  <c r="F17" i="2"/>
  <c r="I17" i="2" s="1"/>
  <c r="F23" i="2"/>
  <c r="I23" i="2" s="1"/>
  <c r="F29" i="2"/>
  <c r="I29" i="2" s="1"/>
  <c r="F35" i="2"/>
  <c r="I35" i="2" s="1"/>
  <c r="F41" i="2"/>
  <c r="I41" i="2" s="1"/>
  <c r="F47" i="2"/>
  <c r="I47" i="2" s="1"/>
  <c r="F53" i="2"/>
  <c r="I53" i="2" s="1"/>
  <c r="F59" i="2"/>
  <c r="I59" i="2" s="1"/>
  <c r="F65" i="2"/>
  <c r="I65" i="2" s="1"/>
  <c r="F71" i="2"/>
  <c r="I71" i="2" s="1"/>
  <c r="F77" i="2"/>
  <c r="I77" i="2" s="1"/>
  <c r="F83" i="2"/>
  <c r="I83" i="2" s="1"/>
  <c r="F89" i="2"/>
  <c r="I89" i="2" s="1"/>
  <c r="F95" i="2"/>
  <c r="I95" i="2" s="1"/>
  <c r="F101" i="2"/>
  <c r="I101" i="2" s="1"/>
  <c r="F107" i="2"/>
  <c r="I107" i="2" s="1"/>
  <c r="F113" i="2"/>
  <c r="I113" i="2" s="1"/>
  <c r="F119" i="2"/>
  <c r="I119" i="2" s="1"/>
  <c r="F125" i="2"/>
  <c r="I125" i="2" s="1"/>
  <c r="J7" i="2"/>
  <c r="J13" i="2"/>
  <c r="J19" i="2"/>
  <c r="J25" i="2"/>
  <c r="J31" i="2"/>
  <c r="J37" i="2"/>
  <c r="J43" i="2"/>
  <c r="J49" i="2"/>
  <c r="J55" i="2"/>
  <c r="J61" i="2"/>
  <c r="J67" i="2"/>
  <c r="J73" i="2"/>
  <c r="J79" i="2"/>
  <c r="J85" i="2"/>
  <c r="J91" i="2"/>
  <c r="J97" i="2"/>
  <c r="J103" i="2"/>
  <c r="J109" i="2"/>
  <c r="J115" i="2"/>
  <c r="J121" i="2"/>
  <c r="J127" i="2"/>
  <c r="F12" i="2"/>
  <c r="I12" i="2" s="1"/>
  <c r="F24" i="2"/>
  <c r="I24" i="2" s="1"/>
  <c r="F36" i="2"/>
  <c r="I36" i="2" s="1"/>
  <c r="F48" i="2"/>
  <c r="I48" i="2" s="1"/>
  <c r="F60" i="2"/>
  <c r="I60" i="2" s="1"/>
  <c r="F72" i="2"/>
  <c r="I72" i="2" s="1"/>
  <c r="F84" i="2"/>
  <c r="I84" i="2" s="1"/>
  <c r="F96" i="2"/>
  <c r="I96" i="2" s="1"/>
  <c r="F108" i="2"/>
  <c r="I108" i="2" s="1"/>
  <c r="F120" i="2"/>
  <c r="I120" i="2" s="1"/>
  <c r="F121" i="2"/>
  <c r="I121" i="2" s="1"/>
  <c r="F85" i="2"/>
  <c r="I85" i="2" s="1"/>
  <c r="F115" i="2"/>
  <c r="I115" i="2" s="1"/>
  <c r="F79" i="2"/>
  <c r="I79" i="2" s="1"/>
  <c r="F109" i="2"/>
  <c r="I109" i="2" s="1"/>
  <c r="F73" i="2"/>
  <c r="I73" i="2" s="1"/>
  <c r="F103" i="2"/>
  <c r="I103" i="2" s="1"/>
  <c r="F67" i="2"/>
  <c r="I67" i="2" s="1"/>
  <c r="E2" i="2" l="1" a="1"/>
  <c r="E2" i="2" s="1"/>
  <c r="D2" i="2" s="1"/>
  <c r="F2" i="2"/>
  <c r="I2" i="2" s="1"/>
  <c r="D9" i="3"/>
  <c r="D27" i="3"/>
  <c r="D15" i="3"/>
  <c r="D7" i="3"/>
  <c r="D83" i="3"/>
  <c r="D103" i="3"/>
  <c r="D39" i="3"/>
  <c r="D111" i="3"/>
  <c r="D66" i="3"/>
  <c r="D11" i="3"/>
  <c r="D84" i="3"/>
  <c r="D70" i="3"/>
  <c r="D57" i="3"/>
  <c r="D97" i="3"/>
  <c r="D25" i="3"/>
  <c r="D108" i="3"/>
  <c r="D101" i="3"/>
  <c r="D29" i="3"/>
  <c r="D55" i="3"/>
  <c r="D68" i="3"/>
  <c r="D74" i="3"/>
  <c r="D24" i="3"/>
  <c r="D59" i="3"/>
  <c r="D30" i="3"/>
  <c r="D46" i="3"/>
  <c r="D87" i="3"/>
  <c r="D117" i="3"/>
  <c r="D33" i="3"/>
  <c r="D73" i="3"/>
  <c r="D116" i="3"/>
  <c r="D54" i="3"/>
  <c r="D77" i="3"/>
  <c r="D110" i="3"/>
  <c r="D98" i="3"/>
  <c r="D79" i="3"/>
  <c r="D31" i="3"/>
  <c r="D114" i="3"/>
  <c r="D107" i="3"/>
  <c r="D35" i="3"/>
  <c r="D32" i="3"/>
  <c r="D94" i="3"/>
  <c r="D22" i="3"/>
  <c r="D63" i="3"/>
  <c r="D93" i="3"/>
  <c r="D26" i="3"/>
  <c r="D49" i="3"/>
  <c r="D62" i="3"/>
  <c r="D18" i="3"/>
  <c r="D53" i="3"/>
  <c r="D56" i="3"/>
  <c r="D8" i="3"/>
  <c r="D72" i="3"/>
  <c r="D112" i="3"/>
  <c r="D88" i="3"/>
  <c r="D64" i="3"/>
  <c r="D40" i="3"/>
  <c r="D115" i="3"/>
  <c r="D91" i="3"/>
  <c r="D67" i="3"/>
  <c r="D43" i="3"/>
  <c r="D19" i="3"/>
  <c r="D104" i="3"/>
  <c r="D44" i="3"/>
  <c r="D90" i="3"/>
  <c r="D42" i="3"/>
  <c r="D12" i="3"/>
  <c r="D95" i="3"/>
  <c r="D71" i="3"/>
  <c r="D47" i="3"/>
  <c r="D23" i="3"/>
  <c r="D92" i="3"/>
  <c r="D50" i="3"/>
  <c r="D102" i="3"/>
  <c r="D60" i="3"/>
  <c r="D106" i="3"/>
  <c r="D82" i="3"/>
  <c r="D58" i="3"/>
  <c r="D34" i="3"/>
  <c r="D14" i="3"/>
  <c r="D99" i="3"/>
  <c r="D75" i="3"/>
  <c r="D51" i="3"/>
  <c r="D28" i="3"/>
  <c r="D105" i="3"/>
  <c r="D81" i="3"/>
  <c r="D45" i="3"/>
  <c r="D16" i="3"/>
  <c r="D109" i="3"/>
  <c r="D85" i="3"/>
  <c r="D61" i="3"/>
  <c r="D37" i="3"/>
  <c r="D13" i="3"/>
  <c r="D86" i="3"/>
  <c r="D20" i="3"/>
  <c r="D78" i="3"/>
  <c r="D36" i="3"/>
  <c r="D113" i="3"/>
  <c r="D89" i="3"/>
  <c r="D65" i="3"/>
  <c r="D41" i="3"/>
  <c r="D17" i="3"/>
  <c r="D80" i="3"/>
  <c r="D38" i="3"/>
  <c r="D96" i="3"/>
  <c r="D48" i="3"/>
  <c r="D100" i="3"/>
  <c r="D76" i="3"/>
  <c r="D52" i="3"/>
  <c r="D6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tc={8F9FD4D8-9329-4419-88E1-4D29327B2685}</author>
  </authors>
  <commentList>
    <comment ref="D1" authorId="0" shapeId="0" xr:uid="{8F9FD4D8-9329-4419-88E1-4D29327B2685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Inserire qui finchè non si riesce a misurare y_max, appena si riesce copiare i valori nella colonna y_max e continuare su quella colonna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tc={0218E3E7-A9AD-4F4F-AE4E-8AA2C252319D}</author>
  </authors>
  <commentList>
    <comment ref="D1" authorId="0" shapeId="0" xr:uid="{0218E3E7-A9AD-4F4F-AE4E-8AA2C252319D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Inserire qui finchè non si riesce a misurare y_max, appena si riesce copiare i valori nella colonna y_max e continuare su quella colonna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<sst xmlns="http://schemas.openxmlformats.org/spreadsheetml/2006/main" count="34" uniqueCount="23">
  <si>
    <t xml:space="preserve"> L</t>
  </si>
  <si>
    <t>err_L</t>
  </si>
  <si>
    <t>sigma_L</t>
  </si>
  <si>
    <t>D</t>
  </si>
  <si>
    <t>err_D</t>
  </si>
  <si>
    <t>sigma_D</t>
  </si>
  <si>
    <t>y_0</t>
  </si>
  <si>
    <t>x_0</t>
  </si>
  <si>
    <t>err_y0</t>
  </si>
  <si>
    <t>err_x0</t>
  </si>
  <si>
    <t>sigma_y0</t>
  </si>
  <si>
    <t>sigma_x0</t>
  </si>
  <si>
    <t>x</t>
  </si>
  <si>
    <t>sigma_x</t>
  </si>
  <si>
    <t>sigma_y</t>
  </si>
  <si>
    <t>y</t>
  </si>
  <si>
    <t>p</t>
  </si>
  <si>
    <t>q</t>
  </si>
  <si>
    <t>sigma_p</t>
  </si>
  <si>
    <t>sigma_q</t>
  </si>
  <si>
    <t>y_max</t>
  </si>
  <si>
    <t>y_min</t>
  </si>
  <si>
    <t>y_max2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</si>
</sst>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grafico</a:t>
            </a:r>
            <a:r>
              <a:rPr lang="it-IT" baseline="0"/>
              <a:t> </a:t>
            </a:r>
            <a:r>
              <a:rPr lang="it-IT" sz="800" baseline="0"/>
              <a:t>dopo che si riesce a prendere y_max</a:t>
            </a:r>
            <a:endParaRPr lang="it-IT" sz="800"/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D-41E9-85A1-EE1C7470A449}"/>
            </c:ext>
          </c:extLst>
        </c:ser>
        <c:ser>
          <c:idx val="5"/>
          <c:order val="1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D-41E9-85A1-EE1C7470A449}"/>
            </c:ext>
          </c:extLst>
        </c:ser>
        <c:ser>
          <c:idx val="6"/>
          <c:order val="2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4D-41E9-85A1-EE1C7470A449}"/>
            </c:ext>
          </c:extLst>
        </c:ser>
        <c:ser>
          <c:idx val="7"/>
          <c:order val="3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4D-41E9-85A1-EE1C7470A449}"/>
            </c:ext>
          </c:extLst>
        </c:ser>
        <c:ser>
          <c:idx val="2"/>
          <c:order val="4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4D-41E9-85A1-EE1C7470A449}"/>
            </c:ext>
          </c:extLst>
        </c:ser>
        <c:ser>
          <c:idx val="3"/>
          <c:order val="5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4D-41E9-85A1-EE1C7470A449}"/>
            </c:ext>
          </c:extLst>
        </c:ser>
        <c:ser>
          <c:idx val="1"/>
          <c:order val="6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'Dati (2)'!$G$2:$G$350</c:f>
              <c:numCache>
                <c:formatCode>General</c:formatCode>
                <c:ptCount val="34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4D-41E9-85A1-EE1C7470A449}"/>
            </c:ext>
          </c:extLst>
        </c:ser>
        <c:ser>
          <c:idx val="0"/>
          <c:order val="7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(2)'!$G$2:$G$350</c:f>
              <c:numCache>
                <c:formatCode>General</c:formatCode>
                <c:ptCount val="34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(2)'!$H$2:$H$350</c:f>
              <c:numCache>
                <c:formatCode>0.00</c:formatCode>
                <c:ptCount val="34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4D-41E9-85A1-EE1C7470A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042160"/>
        <c:axId val="360052048"/>
      </c:scatterChart>
      <c:valAx>
        <c:axId val="54904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052048"/>
        <c:crosses val="autoZero"/>
        <c:crossBetween val="midCat"/>
      </c:valAx>
      <c:valAx>
        <c:axId val="3600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9042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</a:t>
            </a:r>
            <a:r>
              <a:rPr lang="en-US" baseline="0"/>
              <a:t> iniziale </a:t>
            </a:r>
            <a:r>
              <a:rPr lang="en-US" sz="800" baseline="0"/>
              <a:t>prima che si riesca a prendere y_max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(2)'!$G$2:$G$130</c:f>
              <c:numCache>
                <c:formatCode>General</c:formatCode>
                <c:ptCount val="12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(2)'!$H$2:$H$130</c:f>
              <c:numCache>
                <c:formatCode>0.00</c:formatCode>
                <c:ptCount val="12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DE-4C40-B2ED-49917389F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088111"/>
        <c:axId val="347867855"/>
      </c:scatterChart>
      <c:valAx>
        <c:axId val="155908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47867855"/>
        <c:crosses val="autoZero"/>
        <c:crossBetween val="midCat"/>
      </c:valAx>
      <c:valAx>
        <c:axId val="34786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908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grafico</a:t>
            </a:r>
            <a:r>
              <a:rPr lang="it-IT" baseline="0"/>
              <a:t> </a:t>
            </a:r>
            <a:r>
              <a:rPr lang="it-IT" sz="800" baseline="0"/>
              <a:t>dopo che si riesce a prendere y_max</a:t>
            </a:r>
            <a:endParaRPr lang="it-IT" sz="800"/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Dati!$H$1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</c:spPr>
          <c:xVal>
            <c:numRef>
              <c:f>Dati!$G$2:$G$350</c:f>
              <c:numCache>
                <c:formatCode>General</c:formatCode>
                <c:ptCount val="349"/>
                <c:pt idx="0">
                  <c:v>270</c:v>
                </c:pt>
                <c:pt idx="1">
                  <c:v>271</c:v>
                </c:pt>
                <c:pt idx="2">
                  <c:v>272</c:v>
                </c:pt>
                <c:pt idx="3">
                  <c:v>273</c:v>
                </c:pt>
                <c:pt idx="4">
                  <c:v>274</c:v>
                </c:pt>
                <c:pt idx="5">
                  <c:v>275</c:v>
                </c:pt>
                <c:pt idx="6">
                  <c:v>276</c:v>
                </c:pt>
                <c:pt idx="7">
                  <c:v>277</c:v>
                </c:pt>
                <c:pt idx="8">
                  <c:v>278</c:v>
                </c:pt>
                <c:pt idx="9">
                  <c:v>279</c:v>
                </c:pt>
                <c:pt idx="10">
                  <c:v>280</c:v>
                </c:pt>
                <c:pt idx="11">
                  <c:v>281</c:v>
                </c:pt>
                <c:pt idx="12">
                  <c:v>282</c:v>
                </c:pt>
                <c:pt idx="13">
                  <c:v>283</c:v>
                </c:pt>
                <c:pt idx="14">
                  <c:v>284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288</c:v>
                </c:pt>
                <c:pt idx="19">
                  <c:v>289</c:v>
                </c:pt>
                <c:pt idx="20">
                  <c:v>290</c:v>
                </c:pt>
                <c:pt idx="21">
                  <c:v>291</c:v>
                </c:pt>
                <c:pt idx="22">
                  <c:v>292</c:v>
                </c:pt>
                <c:pt idx="23">
                  <c:v>293</c:v>
                </c:pt>
                <c:pt idx="24">
                  <c:v>294</c:v>
                </c:pt>
                <c:pt idx="25">
                  <c:v>295</c:v>
                </c:pt>
                <c:pt idx="26">
                  <c:v>296</c:v>
                </c:pt>
                <c:pt idx="27">
                  <c:v>297</c:v>
                </c:pt>
                <c:pt idx="28">
                  <c:v>298</c:v>
                </c:pt>
                <c:pt idx="29">
                  <c:v>299</c:v>
                </c:pt>
                <c:pt idx="30">
                  <c:v>300</c:v>
                </c:pt>
                <c:pt idx="31">
                  <c:v>301</c:v>
                </c:pt>
                <c:pt idx="32">
                  <c:v>302</c:v>
                </c:pt>
                <c:pt idx="33">
                  <c:v>303</c:v>
                </c:pt>
                <c:pt idx="34">
                  <c:v>304</c:v>
                </c:pt>
                <c:pt idx="35">
                  <c:v>305</c:v>
                </c:pt>
                <c:pt idx="36">
                  <c:v>306</c:v>
                </c:pt>
                <c:pt idx="37">
                  <c:v>307</c:v>
                </c:pt>
                <c:pt idx="38">
                  <c:v>308</c:v>
                </c:pt>
                <c:pt idx="39">
                  <c:v>309</c:v>
                </c:pt>
                <c:pt idx="40">
                  <c:v>310</c:v>
                </c:pt>
                <c:pt idx="41">
                  <c:v>311</c:v>
                </c:pt>
                <c:pt idx="42">
                  <c:v>312</c:v>
                </c:pt>
                <c:pt idx="43">
                  <c:v>313</c:v>
                </c:pt>
                <c:pt idx="44">
                  <c:v>314</c:v>
                </c:pt>
                <c:pt idx="45">
                  <c:v>315</c:v>
                </c:pt>
                <c:pt idx="46">
                  <c:v>317</c:v>
                </c:pt>
                <c:pt idx="47">
                  <c:v>319</c:v>
                </c:pt>
                <c:pt idx="48">
                  <c:v>321</c:v>
                </c:pt>
                <c:pt idx="49">
                  <c:v>323</c:v>
                </c:pt>
                <c:pt idx="50">
                  <c:v>325</c:v>
                </c:pt>
                <c:pt idx="51">
                  <c:v>327</c:v>
                </c:pt>
                <c:pt idx="52">
                  <c:v>329</c:v>
                </c:pt>
                <c:pt idx="53">
                  <c:v>331</c:v>
                </c:pt>
                <c:pt idx="54">
                  <c:v>333</c:v>
                </c:pt>
                <c:pt idx="55">
                  <c:v>335</c:v>
                </c:pt>
                <c:pt idx="56">
                  <c:v>337</c:v>
                </c:pt>
                <c:pt idx="57">
                  <c:v>339</c:v>
                </c:pt>
                <c:pt idx="58">
                  <c:v>341</c:v>
                </c:pt>
                <c:pt idx="59">
                  <c:v>343</c:v>
                </c:pt>
                <c:pt idx="60">
                  <c:v>345</c:v>
                </c:pt>
                <c:pt idx="61">
                  <c:v>347</c:v>
                </c:pt>
                <c:pt idx="62">
                  <c:v>349</c:v>
                </c:pt>
                <c:pt idx="63">
                  <c:v>351</c:v>
                </c:pt>
                <c:pt idx="64">
                  <c:v>354</c:v>
                </c:pt>
                <c:pt idx="65">
                  <c:v>357</c:v>
                </c:pt>
                <c:pt idx="66">
                  <c:v>360</c:v>
                </c:pt>
                <c:pt idx="67">
                  <c:v>363</c:v>
                </c:pt>
                <c:pt idx="68">
                  <c:v>366</c:v>
                </c:pt>
                <c:pt idx="69">
                  <c:v>369</c:v>
                </c:pt>
                <c:pt idx="70">
                  <c:v>372</c:v>
                </c:pt>
                <c:pt idx="71">
                  <c:v>375</c:v>
                </c:pt>
                <c:pt idx="72">
                  <c:v>379</c:v>
                </c:pt>
                <c:pt idx="73">
                  <c:v>383</c:v>
                </c:pt>
                <c:pt idx="74">
                  <c:v>387</c:v>
                </c:pt>
                <c:pt idx="75">
                  <c:v>391</c:v>
                </c:pt>
                <c:pt idx="76">
                  <c:v>395</c:v>
                </c:pt>
                <c:pt idx="77">
                  <c:v>399</c:v>
                </c:pt>
                <c:pt idx="78">
                  <c:v>403</c:v>
                </c:pt>
                <c:pt idx="79">
                  <c:v>407</c:v>
                </c:pt>
                <c:pt idx="80">
                  <c:v>412</c:v>
                </c:pt>
                <c:pt idx="81">
                  <c:v>417</c:v>
                </c:pt>
                <c:pt idx="82">
                  <c:v>422</c:v>
                </c:pt>
                <c:pt idx="83">
                  <c:v>427</c:v>
                </c:pt>
                <c:pt idx="84">
                  <c:v>432</c:v>
                </c:pt>
                <c:pt idx="85">
                  <c:v>437</c:v>
                </c:pt>
                <c:pt idx="86">
                  <c:v>442</c:v>
                </c:pt>
                <c:pt idx="87">
                  <c:v>447</c:v>
                </c:pt>
                <c:pt idx="88">
                  <c:v>454</c:v>
                </c:pt>
                <c:pt idx="89">
                  <c:v>461</c:v>
                </c:pt>
                <c:pt idx="90">
                  <c:v>468</c:v>
                </c:pt>
                <c:pt idx="91">
                  <c:v>475</c:v>
                </c:pt>
                <c:pt idx="92">
                  <c:v>485</c:v>
                </c:pt>
                <c:pt idx="93">
                  <c:v>495</c:v>
                </c:pt>
                <c:pt idx="94">
                  <c:v>505</c:v>
                </c:pt>
                <c:pt idx="95">
                  <c:v>515</c:v>
                </c:pt>
                <c:pt idx="96">
                  <c:v>525</c:v>
                </c:pt>
                <c:pt idx="97">
                  <c:v>535</c:v>
                </c:pt>
                <c:pt idx="98">
                  <c:v>545</c:v>
                </c:pt>
                <c:pt idx="99">
                  <c:v>555</c:v>
                </c:pt>
                <c:pt idx="100">
                  <c:v>565</c:v>
                </c:pt>
                <c:pt idx="101">
                  <c:v>575</c:v>
                </c:pt>
                <c:pt idx="102">
                  <c:v>595</c:v>
                </c:pt>
                <c:pt idx="103">
                  <c:v>615</c:v>
                </c:pt>
                <c:pt idx="104">
                  <c:v>635</c:v>
                </c:pt>
                <c:pt idx="105">
                  <c:v>655</c:v>
                </c:pt>
                <c:pt idx="106">
                  <c:v>675</c:v>
                </c:pt>
                <c:pt idx="107">
                  <c:v>695</c:v>
                </c:pt>
                <c:pt idx="108">
                  <c:v>715</c:v>
                </c:pt>
                <c:pt idx="109">
                  <c:v>735</c:v>
                </c:pt>
                <c:pt idx="110">
                  <c:v>755</c:v>
                </c:pt>
                <c:pt idx="111">
                  <c:v>775</c:v>
                </c:pt>
                <c:pt idx="112">
                  <c:v>825</c:v>
                </c:pt>
                <c:pt idx="113">
                  <c:v>875</c:v>
                </c:pt>
                <c:pt idx="114">
                  <c:v>925</c:v>
                </c:pt>
                <c:pt idx="115">
                  <c:v>975</c:v>
                </c:pt>
                <c:pt idx="116">
                  <c:v>1025</c:v>
                </c:pt>
                <c:pt idx="117">
                  <c:v>1075</c:v>
                </c:pt>
                <c:pt idx="118">
                  <c:v>1175</c:v>
                </c:pt>
                <c:pt idx="119">
                  <c:v>1275</c:v>
                </c:pt>
                <c:pt idx="120">
                  <c:v>1375</c:v>
                </c:pt>
                <c:pt idx="121">
                  <c:v>1475</c:v>
                </c:pt>
                <c:pt idx="122">
                  <c:v>1575</c:v>
                </c:pt>
                <c:pt idx="123">
                  <c:v>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1675</c:v>
                </c:pt>
              </c:numCache>
            </c:numRef>
          </c:xVal>
          <c:yVal>
            <c:numRef>
              <c:f>Dati!$H$2:$H$350</c:f>
              <c:numCache>
                <c:formatCode>0.00</c:formatCode>
                <c:ptCount val="349"/>
                <c:pt idx="0">
                  <c:v>-270</c:v>
                </c:pt>
                <c:pt idx="1">
                  <c:v>-271</c:v>
                </c:pt>
                <c:pt idx="2">
                  <c:v>-272</c:v>
                </c:pt>
                <c:pt idx="3">
                  <c:v>-273</c:v>
                </c:pt>
                <c:pt idx="4">
                  <c:v>-274</c:v>
                </c:pt>
                <c:pt idx="5">
                  <c:v>-275</c:v>
                </c:pt>
                <c:pt idx="6">
                  <c:v>-276</c:v>
                </c:pt>
                <c:pt idx="7">
                  <c:v>-277</c:v>
                </c:pt>
                <c:pt idx="8">
                  <c:v>-278</c:v>
                </c:pt>
                <c:pt idx="9">
                  <c:v>-279</c:v>
                </c:pt>
                <c:pt idx="10">
                  <c:v>-280</c:v>
                </c:pt>
                <c:pt idx="11">
                  <c:v>-281</c:v>
                </c:pt>
                <c:pt idx="12">
                  <c:v>-282</c:v>
                </c:pt>
                <c:pt idx="13">
                  <c:v>-283</c:v>
                </c:pt>
                <c:pt idx="14">
                  <c:v>-284</c:v>
                </c:pt>
                <c:pt idx="15">
                  <c:v>-285</c:v>
                </c:pt>
                <c:pt idx="16">
                  <c:v>-286</c:v>
                </c:pt>
                <c:pt idx="17">
                  <c:v>-287</c:v>
                </c:pt>
                <c:pt idx="18">
                  <c:v>-288</c:v>
                </c:pt>
                <c:pt idx="19">
                  <c:v>-289</c:v>
                </c:pt>
                <c:pt idx="20">
                  <c:v>-290</c:v>
                </c:pt>
                <c:pt idx="21">
                  <c:v>-291</c:v>
                </c:pt>
                <c:pt idx="22">
                  <c:v>-292</c:v>
                </c:pt>
                <c:pt idx="23">
                  <c:v>-293</c:v>
                </c:pt>
                <c:pt idx="24">
                  <c:v>-294</c:v>
                </c:pt>
                <c:pt idx="25">
                  <c:v>-295</c:v>
                </c:pt>
                <c:pt idx="26">
                  <c:v>-296</c:v>
                </c:pt>
                <c:pt idx="27">
                  <c:v>-297</c:v>
                </c:pt>
                <c:pt idx="28">
                  <c:v>-298</c:v>
                </c:pt>
                <c:pt idx="29">
                  <c:v>-299</c:v>
                </c:pt>
                <c:pt idx="30">
                  <c:v>-300</c:v>
                </c:pt>
                <c:pt idx="31">
                  <c:v>-301</c:v>
                </c:pt>
                <c:pt idx="32">
                  <c:v>-302</c:v>
                </c:pt>
                <c:pt idx="33">
                  <c:v>-303</c:v>
                </c:pt>
                <c:pt idx="34">
                  <c:v>-304</c:v>
                </c:pt>
                <c:pt idx="35">
                  <c:v>-305</c:v>
                </c:pt>
                <c:pt idx="36">
                  <c:v>-306</c:v>
                </c:pt>
                <c:pt idx="37">
                  <c:v>-307</c:v>
                </c:pt>
                <c:pt idx="38">
                  <c:v>-308</c:v>
                </c:pt>
                <c:pt idx="39">
                  <c:v>-309</c:v>
                </c:pt>
                <c:pt idx="40">
                  <c:v>-310</c:v>
                </c:pt>
                <c:pt idx="41">
                  <c:v>-311</c:v>
                </c:pt>
                <c:pt idx="42">
                  <c:v>-312</c:v>
                </c:pt>
                <c:pt idx="43">
                  <c:v>-313</c:v>
                </c:pt>
                <c:pt idx="44">
                  <c:v>-314</c:v>
                </c:pt>
                <c:pt idx="45">
                  <c:v>-315</c:v>
                </c:pt>
                <c:pt idx="46">
                  <c:v>-317</c:v>
                </c:pt>
                <c:pt idx="47">
                  <c:v>-319</c:v>
                </c:pt>
                <c:pt idx="48">
                  <c:v>-321</c:v>
                </c:pt>
                <c:pt idx="49">
                  <c:v>-323</c:v>
                </c:pt>
                <c:pt idx="50">
                  <c:v>-325</c:v>
                </c:pt>
                <c:pt idx="51">
                  <c:v>-327</c:v>
                </c:pt>
                <c:pt idx="52">
                  <c:v>-329</c:v>
                </c:pt>
                <c:pt idx="53">
                  <c:v>-331</c:v>
                </c:pt>
                <c:pt idx="54">
                  <c:v>-333</c:v>
                </c:pt>
                <c:pt idx="55">
                  <c:v>-335</c:v>
                </c:pt>
                <c:pt idx="56">
                  <c:v>-337</c:v>
                </c:pt>
                <c:pt idx="57">
                  <c:v>-339</c:v>
                </c:pt>
                <c:pt idx="58">
                  <c:v>-341</c:v>
                </c:pt>
                <c:pt idx="59">
                  <c:v>-343</c:v>
                </c:pt>
                <c:pt idx="60">
                  <c:v>-345</c:v>
                </c:pt>
                <c:pt idx="61">
                  <c:v>-347</c:v>
                </c:pt>
                <c:pt idx="62">
                  <c:v>-349</c:v>
                </c:pt>
                <c:pt idx="63">
                  <c:v>-351</c:v>
                </c:pt>
                <c:pt idx="64">
                  <c:v>-354</c:v>
                </c:pt>
                <c:pt idx="65">
                  <c:v>-357</c:v>
                </c:pt>
                <c:pt idx="66">
                  <c:v>-360</c:v>
                </c:pt>
                <c:pt idx="67">
                  <c:v>-363</c:v>
                </c:pt>
                <c:pt idx="68">
                  <c:v>-366</c:v>
                </c:pt>
                <c:pt idx="69">
                  <c:v>-369</c:v>
                </c:pt>
                <c:pt idx="70">
                  <c:v>-372</c:v>
                </c:pt>
                <c:pt idx="71">
                  <c:v>-375</c:v>
                </c:pt>
                <c:pt idx="72">
                  <c:v>-379</c:v>
                </c:pt>
                <c:pt idx="73">
                  <c:v>-383</c:v>
                </c:pt>
                <c:pt idx="74">
                  <c:v>-387</c:v>
                </c:pt>
                <c:pt idx="75">
                  <c:v>-391</c:v>
                </c:pt>
                <c:pt idx="76">
                  <c:v>-395</c:v>
                </c:pt>
                <c:pt idx="77">
                  <c:v>-399</c:v>
                </c:pt>
                <c:pt idx="78">
                  <c:v>-403</c:v>
                </c:pt>
                <c:pt idx="79">
                  <c:v>-407</c:v>
                </c:pt>
                <c:pt idx="80">
                  <c:v>-412</c:v>
                </c:pt>
                <c:pt idx="81">
                  <c:v>-417</c:v>
                </c:pt>
                <c:pt idx="82">
                  <c:v>-422</c:v>
                </c:pt>
                <c:pt idx="83">
                  <c:v>-427</c:v>
                </c:pt>
                <c:pt idx="84">
                  <c:v>-432</c:v>
                </c:pt>
                <c:pt idx="85">
                  <c:v>-437</c:v>
                </c:pt>
                <c:pt idx="86">
                  <c:v>-442</c:v>
                </c:pt>
                <c:pt idx="87">
                  <c:v>-447</c:v>
                </c:pt>
                <c:pt idx="88">
                  <c:v>-454</c:v>
                </c:pt>
                <c:pt idx="89">
                  <c:v>-461</c:v>
                </c:pt>
                <c:pt idx="90">
                  <c:v>-468</c:v>
                </c:pt>
                <c:pt idx="91">
                  <c:v>-475</c:v>
                </c:pt>
                <c:pt idx="92">
                  <c:v>-485</c:v>
                </c:pt>
                <c:pt idx="93">
                  <c:v>-495</c:v>
                </c:pt>
                <c:pt idx="94">
                  <c:v>-505</c:v>
                </c:pt>
                <c:pt idx="95">
                  <c:v>-515</c:v>
                </c:pt>
                <c:pt idx="96">
                  <c:v>-525</c:v>
                </c:pt>
                <c:pt idx="97">
                  <c:v>-535</c:v>
                </c:pt>
                <c:pt idx="98">
                  <c:v>-545</c:v>
                </c:pt>
                <c:pt idx="99">
                  <c:v>-555</c:v>
                </c:pt>
                <c:pt idx="100">
                  <c:v>-565</c:v>
                </c:pt>
                <c:pt idx="101">
                  <c:v>-575</c:v>
                </c:pt>
                <c:pt idx="102">
                  <c:v>-595</c:v>
                </c:pt>
                <c:pt idx="103">
                  <c:v>-615</c:v>
                </c:pt>
                <c:pt idx="104">
                  <c:v>-635</c:v>
                </c:pt>
                <c:pt idx="105">
                  <c:v>-655</c:v>
                </c:pt>
                <c:pt idx="106">
                  <c:v>-675</c:v>
                </c:pt>
                <c:pt idx="107">
                  <c:v>-695</c:v>
                </c:pt>
                <c:pt idx="108">
                  <c:v>-715</c:v>
                </c:pt>
                <c:pt idx="109">
                  <c:v>-735</c:v>
                </c:pt>
                <c:pt idx="110">
                  <c:v>-755</c:v>
                </c:pt>
                <c:pt idx="111">
                  <c:v>-775</c:v>
                </c:pt>
                <c:pt idx="112">
                  <c:v>-825</c:v>
                </c:pt>
                <c:pt idx="113">
                  <c:v>-875</c:v>
                </c:pt>
                <c:pt idx="114">
                  <c:v>-925</c:v>
                </c:pt>
                <c:pt idx="115">
                  <c:v>-975</c:v>
                </c:pt>
                <c:pt idx="116">
                  <c:v>-1025</c:v>
                </c:pt>
                <c:pt idx="117">
                  <c:v>-1075</c:v>
                </c:pt>
                <c:pt idx="118">
                  <c:v>-1175</c:v>
                </c:pt>
                <c:pt idx="119">
                  <c:v>-1275</c:v>
                </c:pt>
                <c:pt idx="120">
                  <c:v>-1375</c:v>
                </c:pt>
                <c:pt idx="121">
                  <c:v>-1475</c:v>
                </c:pt>
                <c:pt idx="122">
                  <c:v>-1575</c:v>
                </c:pt>
                <c:pt idx="123">
                  <c:v>-1675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CE9-4F27-9351-19DBE9590D16}"/>
            </c:ext>
          </c:extLst>
        </c:ser>
        <c:ser>
          <c:idx val="5"/>
          <c:order val="1"/>
          <c:tx>
            <c:strRef>
              <c:f>Dati!$H$1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Dati!$G$2:$G$350</c:f>
              <c:numCache>
                <c:formatCode>General</c:formatCode>
                <c:ptCount val="349"/>
                <c:pt idx="0">
                  <c:v>270</c:v>
                </c:pt>
                <c:pt idx="1">
                  <c:v>271</c:v>
                </c:pt>
                <c:pt idx="2">
                  <c:v>272</c:v>
                </c:pt>
                <c:pt idx="3">
                  <c:v>273</c:v>
                </c:pt>
                <c:pt idx="4">
                  <c:v>274</c:v>
                </c:pt>
                <c:pt idx="5">
                  <c:v>275</c:v>
                </c:pt>
                <c:pt idx="6">
                  <c:v>276</c:v>
                </c:pt>
                <c:pt idx="7">
                  <c:v>277</c:v>
                </c:pt>
                <c:pt idx="8">
                  <c:v>278</c:v>
                </c:pt>
                <c:pt idx="9">
                  <c:v>279</c:v>
                </c:pt>
                <c:pt idx="10">
                  <c:v>280</c:v>
                </c:pt>
                <c:pt idx="11">
                  <c:v>281</c:v>
                </c:pt>
                <c:pt idx="12">
                  <c:v>282</c:v>
                </c:pt>
                <c:pt idx="13">
                  <c:v>283</c:v>
                </c:pt>
                <c:pt idx="14">
                  <c:v>284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288</c:v>
                </c:pt>
                <c:pt idx="19">
                  <c:v>289</c:v>
                </c:pt>
                <c:pt idx="20">
                  <c:v>290</c:v>
                </c:pt>
                <c:pt idx="21">
                  <c:v>291</c:v>
                </c:pt>
                <c:pt idx="22">
                  <c:v>292</c:v>
                </c:pt>
                <c:pt idx="23">
                  <c:v>293</c:v>
                </c:pt>
                <c:pt idx="24">
                  <c:v>294</c:v>
                </c:pt>
                <c:pt idx="25">
                  <c:v>295</c:v>
                </c:pt>
                <c:pt idx="26">
                  <c:v>296</c:v>
                </c:pt>
                <c:pt idx="27">
                  <c:v>297</c:v>
                </c:pt>
                <c:pt idx="28">
                  <c:v>298</c:v>
                </c:pt>
                <c:pt idx="29">
                  <c:v>299</c:v>
                </c:pt>
                <c:pt idx="30">
                  <c:v>300</c:v>
                </c:pt>
                <c:pt idx="31">
                  <c:v>301</c:v>
                </c:pt>
                <c:pt idx="32">
                  <c:v>302</c:v>
                </c:pt>
                <c:pt idx="33">
                  <c:v>303</c:v>
                </c:pt>
                <c:pt idx="34">
                  <c:v>304</c:v>
                </c:pt>
                <c:pt idx="35">
                  <c:v>305</c:v>
                </c:pt>
                <c:pt idx="36">
                  <c:v>306</c:v>
                </c:pt>
                <c:pt idx="37">
                  <c:v>307</c:v>
                </c:pt>
                <c:pt idx="38">
                  <c:v>308</c:v>
                </c:pt>
                <c:pt idx="39">
                  <c:v>309</c:v>
                </c:pt>
                <c:pt idx="40">
                  <c:v>310</c:v>
                </c:pt>
                <c:pt idx="41">
                  <c:v>311</c:v>
                </c:pt>
                <c:pt idx="42">
                  <c:v>312</c:v>
                </c:pt>
                <c:pt idx="43">
                  <c:v>313</c:v>
                </c:pt>
                <c:pt idx="44">
                  <c:v>314</c:v>
                </c:pt>
                <c:pt idx="45">
                  <c:v>315</c:v>
                </c:pt>
                <c:pt idx="46">
                  <c:v>317</c:v>
                </c:pt>
                <c:pt idx="47">
                  <c:v>319</c:v>
                </c:pt>
                <c:pt idx="48">
                  <c:v>321</c:v>
                </c:pt>
                <c:pt idx="49">
                  <c:v>323</c:v>
                </c:pt>
                <c:pt idx="50">
                  <c:v>325</c:v>
                </c:pt>
                <c:pt idx="51">
                  <c:v>327</c:v>
                </c:pt>
                <c:pt idx="52">
                  <c:v>329</c:v>
                </c:pt>
                <c:pt idx="53">
                  <c:v>331</c:v>
                </c:pt>
                <c:pt idx="54">
                  <c:v>333</c:v>
                </c:pt>
                <c:pt idx="55">
                  <c:v>335</c:v>
                </c:pt>
                <c:pt idx="56">
                  <c:v>337</c:v>
                </c:pt>
                <c:pt idx="57">
                  <c:v>339</c:v>
                </c:pt>
                <c:pt idx="58">
                  <c:v>341</c:v>
                </c:pt>
                <c:pt idx="59">
                  <c:v>343</c:v>
                </c:pt>
                <c:pt idx="60">
                  <c:v>345</c:v>
                </c:pt>
                <c:pt idx="61">
                  <c:v>347</c:v>
                </c:pt>
                <c:pt idx="62">
                  <c:v>349</c:v>
                </c:pt>
                <c:pt idx="63">
                  <c:v>351</c:v>
                </c:pt>
                <c:pt idx="64">
                  <c:v>354</c:v>
                </c:pt>
                <c:pt idx="65">
                  <c:v>357</c:v>
                </c:pt>
                <c:pt idx="66">
                  <c:v>360</c:v>
                </c:pt>
                <c:pt idx="67">
                  <c:v>363</c:v>
                </c:pt>
                <c:pt idx="68">
                  <c:v>366</c:v>
                </c:pt>
                <c:pt idx="69">
                  <c:v>369</c:v>
                </c:pt>
                <c:pt idx="70">
                  <c:v>372</c:v>
                </c:pt>
                <c:pt idx="71">
                  <c:v>375</c:v>
                </c:pt>
                <c:pt idx="72">
                  <c:v>379</c:v>
                </c:pt>
                <c:pt idx="73">
                  <c:v>383</c:v>
                </c:pt>
                <c:pt idx="74">
                  <c:v>387</c:v>
                </c:pt>
                <c:pt idx="75">
                  <c:v>391</c:v>
                </c:pt>
                <c:pt idx="76">
                  <c:v>395</c:v>
                </c:pt>
                <c:pt idx="77">
                  <c:v>399</c:v>
                </c:pt>
                <c:pt idx="78">
                  <c:v>403</c:v>
                </c:pt>
                <c:pt idx="79">
                  <c:v>407</c:v>
                </c:pt>
                <c:pt idx="80">
                  <c:v>412</c:v>
                </c:pt>
                <c:pt idx="81">
                  <c:v>417</c:v>
                </c:pt>
                <c:pt idx="82">
                  <c:v>422</c:v>
                </c:pt>
                <c:pt idx="83">
                  <c:v>427</c:v>
                </c:pt>
                <c:pt idx="84">
                  <c:v>432</c:v>
                </c:pt>
                <c:pt idx="85">
                  <c:v>437</c:v>
                </c:pt>
                <c:pt idx="86">
                  <c:v>442</c:v>
                </c:pt>
                <c:pt idx="87">
                  <c:v>447</c:v>
                </c:pt>
                <c:pt idx="88">
                  <c:v>454</c:v>
                </c:pt>
                <c:pt idx="89">
                  <c:v>461</c:v>
                </c:pt>
                <c:pt idx="90">
                  <c:v>468</c:v>
                </c:pt>
                <c:pt idx="91">
                  <c:v>475</c:v>
                </c:pt>
                <c:pt idx="92">
                  <c:v>485</c:v>
                </c:pt>
                <c:pt idx="93">
                  <c:v>495</c:v>
                </c:pt>
                <c:pt idx="94">
                  <c:v>505</c:v>
                </c:pt>
                <c:pt idx="95">
                  <c:v>515</c:v>
                </c:pt>
                <c:pt idx="96">
                  <c:v>525</c:v>
                </c:pt>
                <c:pt idx="97">
                  <c:v>535</c:v>
                </c:pt>
                <c:pt idx="98">
                  <c:v>545</c:v>
                </c:pt>
                <c:pt idx="99">
                  <c:v>555</c:v>
                </c:pt>
                <c:pt idx="100">
                  <c:v>565</c:v>
                </c:pt>
                <c:pt idx="101">
                  <c:v>575</c:v>
                </c:pt>
                <c:pt idx="102">
                  <c:v>595</c:v>
                </c:pt>
                <c:pt idx="103">
                  <c:v>615</c:v>
                </c:pt>
                <c:pt idx="104">
                  <c:v>635</c:v>
                </c:pt>
                <c:pt idx="105">
                  <c:v>655</c:v>
                </c:pt>
                <c:pt idx="106">
                  <c:v>675</c:v>
                </c:pt>
                <c:pt idx="107">
                  <c:v>695</c:v>
                </c:pt>
                <c:pt idx="108">
                  <c:v>715</c:v>
                </c:pt>
                <c:pt idx="109">
                  <c:v>735</c:v>
                </c:pt>
                <c:pt idx="110">
                  <c:v>755</c:v>
                </c:pt>
                <c:pt idx="111">
                  <c:v>775</c:v>
                </c:pt>
                <c:pt idx="112">
                  <c:v>825</c:v>
                </c:pt>
                <c:pt idx="113">
                  <c:v>875</c:v>
                </c:pt>
                <c:pt idx="114">
                  <c:v>925</c:v>
                </c:pt>
                <c:pt idx="115">
                  <c:v>975</c:v>
                </c:pt>
                <c:pt idx="116">
                  <c:v>1025</c:v>
                </c:pt>
                <c:pt idx="117">
                  <c:v>1075</c:v>
                </c:pt>
                <c:pt idx="118">
                  <c:v>1175</c:v>
                </c:pt>
                <c:pt idx="119">
                  <c:v>1275</c:v>
                </c:pt>
                <c:pt idx="120">
                  <c:v>1375</c:v>
                </c:pt>
                <c:pt idx="121">
                  <c:v>1475</c:v>
                </c:pt>
                <c:pt idx="122">
                  <c:v>1575</c:v>
                </c:pt>
                <c:pt idx="123">
                  <c:v>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1675</c:v>
                </c:pt>
              </c:numCache>
            </c:numRef>
          </c:xVal>
          <c:yVal>
            <c:numRef>
              <c:f>Dati!$H$2:$H$350</c:f>
              <c:numCache>
                <c:formatCode>0.00</c:formatCode>
                <c:ptCount val="349"/>
                <c:pt idx="0">
                  <c:v>-270</c:v>
                </c:pt>
                <c:pt idx="1">
                  <c:v>-271</c:v>
                </c:pt>
                <c:pt idx="2">
                  <c:v>-272</c:v>
                </c:pt>
                <c:pt idx="3">
                  <c:v>-273</c:v>
                </c:pt>
                <c:pt idx="4">
                  <c:v>-274</c:v>
                </c:pt>
                <c:pt idx="5">
                  <c:v>-275</c:v>
                </c:pt>
                <c:pt idx="6">
                  <c:v>-276</c:v>
                </c:pt>
                <c:pt idx="7">
                  <c:v>-277</c:v>
                </c:pt>
                <c:pt idx="8">
                  <c:v>-278</c:v>
                </c:pt>
                <c:pt idx="9">
                  <c:v>-279</c:v>
                </c:pt>
                <c:pt idx="10">
                  <c:v>-280</c:v>
                </c:pt>
                <c:pt idx="11">
                  <c:v>-281</c:v>
                </c:pt>
                <c:pt idx="12">
                  <c:v>-282</c:v>
                </c:pt>
                <c:pt idx="13">
                  <c:v>-283</c:v>
                </c:pt>
                <c:pt idx="14">
                  <c:v>-284</c:v>
                </c:pt>
                <c:pt idx="15">
                  <c:v>-285</c:v>
                </c:pt>
                <c:pt idx="16">
                  <c:v>-286</c:v>
                </c:pt>
                <c:pt idx="17">
                  <c:v>-287</c:v>
                </c:pt>
                <c:pt idx="18">
                  <c:v>-288</c:v>
                </c:pt>
                <c:pt idx="19">
                  <c:v>-289</c:v>
                </c:pt>
                <c:pt idx="20">
                  <c:v>-290</c:v>
                </c:pt>
                <c:pt idx="21">
                  <c:v>-291</c:v>
                </c:pt>
                <c:pt idx="22">
                  <c:v>-292</c:v>
                </c:pt>
                <c:pt idx="23">
                  <c:v>-293</c:v>
                </c:pt>
                <c:pt idx="24">
                  <c:v>-294</c:v>
                </c:pt>
                <c:pt idx="25">
                  <c:v>-295</c:v>
                </c:pt>
                <c:pt idx="26">
                  <c:v>-296</c:v>
                </c:pt>
                <c:pt idx="27">
                  <c:v>-297</c:v>
                </c:pt>
                <c:pt idx="28">
                  <c:v>-298</c:v>
                </c:pt>
                <c:pt idx="29">
                  <c:v>-299</c:v>
                </c:pt>
                <c:pt idx="30">
                  <c:v>-300</c:v>
                </c:pt>
                <c:pt idx="31">
                  <c:v>-301</c:v>
                </c:pt>
                <c:pt idx="32">
                  <c:v>-302</c:v>
                </c:pt>
                <c:pt idx="33">
                  <c:v>-303</c:v>
                </c:pt>
                <c:pt idx="34">
                  <c:v>-304</c:v>
                </c:pt>
                <c:pt idx="35">
                  <c:v>-305</c:v>
                </c:pt>
                <c:pt idx="36">
                  <c:v>-306</c:v>
                </c:pt>
                <c:pt idx="37">
                  <c:v>-307</c:v>
                </c:pt>
                <c:pt idx="38">
                  <c:v>-308</c:v>
                </c:pt>
                <c:pt idx="39">
                  <c:v>-309</c:v>
                </c:pt>
                <c:pt idx="40">
                  <c:v>-310</c:v>
                </c:pt>
                <c:pt idx="41">
                  <c:v>-311</c:v>
                </c:pt>
                <c:pt idx="42">
                  <c:v>-312</c:v>
                </c:pt>
                <c:pt idx="43">
                  <c:v>-313</c:v>
                </c:pt>
                <c:pt idx="44">
                  <c:v>-314</c:v>
                </c:pt>
                <c:pt idx="45">
                  <c:v>-315</c:v>
                </c:pt>
                <c:pt idx="46">
                  <c:v>-317</c:v>
                </c:pt>
                <c:pt idx="47">
                  <c:v>-319</c:v>
                </c:pt>
                <c:pt idx="48">
                  <c:v>-321</c:v>
                </c:pt>
                <c:pt idx="49">
                  <c:v>-323</c:v>
                </c:pt>
                <c:pt idx="50">
                  <c:v>-325</c:v>
                </c:pt>
                <c:pt idx="51">
                  <c:v>-327</c:v>
                </c:pt>
                <c:pt idx="52">
                  <c:v>-329</c:v>
                </c:pt>
                <c:pt idx="53">
                  <c:v>-331</c:v>
                </c:pt>
                <c:pt idx="54">
                  <c:v>-333</c:v>
                </c:pt>
                <c:pt idx="55">
                  <c:v>-335</c:v>
                </c:pt>
                <c:pt idx="56">
                  <c:v>-337</c:v>
                </c:pt>
                <c:pt idx="57">
                  <c:v>-339</c:v>
                </c:pt>
                <c:pt idx="58">
                  <c:v>-341</c:v>
                </c:pt>
                <c:pt idx="59">
                  <c:v>-343</c:v>
                </c:pt>
                <c:pt idx="60">
                  <c:v>-345</c:v>
                </c:pt>
                <c:pt idx="61">
                  <c:v>-347</c:v>
                </c:pt>
                <c:pt idx="62">
                  <c:v>-349</c:v>
                </c:pt>
                <c:pt idx="63">
                  <c:v>-351</c:v>
                </c:pt>
                <c:pt idx="64">
                  <c:v>-354</c:v>
                </c:pt>
                <c:pt idx="65">
                  <c:v>-357</c:v>
                </c:pt>
                <c:pt idx="66">
                  <c:v>-360</c:v>
                </c:pt>
                <c:pt idx="67">
                  <c:v>-363</c:v>
                </c:pt>
                <c:pt idx="68">
                  <c:v>-366</c:v>
                </c:pt>
                <c:pt idx="69">
                  <c:v>-369</c:v>
                </c:pt>
                <c:pt idx="70">
                  <c:v>-372</c:v>
                </c:pt>
                <c:pt idx="71">
                  <c:v>-375</c:v>
                </c:pt>
                <c:pt idx="72">
                  <c:v>-379</c:v>
                </c:pt>
                <c:pt idx="73">
                  <c:v>-383</c:v>
                </c:pt>
                <c:pt idx="74">
                  <c:v>-387</c:v>
                </c:pt>
                <c:pt idx="75">
                  <c:v>-391</c:v>
                </c:pt>
                <c:pt idx="76">
                  <c:v>-395</c:v>
                </c:pt>
                <c:pt idx="77">
                  <c:v>-399</c:v>
                </c:pt>
                <c:pt idx="78">
                  <c:v>-403</c:v>
                </c:pt>
                <c:pt idx="79">
                  <c:v>-407</c:v>
                </c:pt>
                <c:pt idx="80">
                  <c:v>-412</c:v>
                </c:pt>
                <c:pt idx="81">
                  <c:v>-417</c:v>
                </c:pt>
                <c:pt idx="82">
                  <c:v>-422</c:v>
                </c:pt>
                <c:pt idx="83">
                  <c:v>-427</c:v>
                </c:pt>
                <c:pt idx="84">
                  <c:v>-432</c:v>
                </c:pt>
                <c:pt idx="85">
                  <c:v>-437</c:v>
                </c:pt>
                <c:pt idx="86">
                  <c:v>-442</c:v>
                </c:pt>
                <c:pt idx="87">
                  <c:v>-447</c:v>
                </c:pt>
                <c:pt idx="88">
                  <c:v>-454</c:v>
                </c:pt>
                <c:pt idx="89">
                  <c:v>-461</c:v>
                </c:pt>
                <c:pt idx="90">
                  <c:v>-468</c:v>
                </c:pt>
                <c:pt idx="91">
                  <c:v>-475</c:v>
                </c:pt>
                <c:pt idx="92">
                  <c:v>-485</c:v>
                </c:pt>
                <c:pt idx="93">
                  <c:v>-495</c:v>
                </c:pt>
                <c:pt idx="94">
                  <c:v>-505</c:v>
                </c:pt>
                <c:pt idx="95">
                  <c:v>-515</c:v>
                </c:pt>
                <c:pt idx="96">
                  <c:v>-525</c:v>
                </c:pt>
                <c:pt idx="97">
                  <c:v>-535</c:v>
                </c:pt>
                <c:pt idx="98">
                  <c:v>-545</c:v>
                </c:pt>
                <c:pt idx="99">
                  <c:v>-555</c:v>
                </c:pt>
                <c:pt idx="100">
                  <c:v>-565</c:v>
                </c:pt>
                <c:pt idx="101">
                  <c:v>-575</c:v>
                </c:pt>
                <c:pt idx="102">
                  <c:v>-595</c:v>
                </c:pt>
                <c:pt idx="103">
                  <c:v>-615</c:v>
                </c:pt>
                <c:pt idx="104">
                  <c:v>-635</c:v>
                </c:pt>
                <c:pt idx="105">
                  <c:v>-655</c:v>
                </c:pt>
                <c:pt idx="106">
                  <c:v>-675</c:v>
                </c:pt>
                <c:pt idx="107">
                  <c:v>-695</c:v>
                </c:pt>
                <c:pt idx="108">
                  <c:v>-715</c:v>
                </c:pt>
                <c:pt idx="109">
                  <c:v>-735</c:v>
                </c:pt>
                <c:pt idx="110">
                  <c:v>-755</c:v>
                </c:pt>
                <c:pt idx="111">
                  <c:v>-775</c:v>
                </c:pt>
                <c:pt idx="112">
                  <c:v>-825</c:v>
                </c:pt>
                <c:pt idx="113">
                  <c:v>-875</c:v>
                </c:pt>
                <c:pt idx="114">
                  <c:v>-925</c:v>
                </c:pt>
                <c:pt idx="115">
                  <c:v>-975</c:v>
                </c:pt>
                <c:pt idx="116">
                  <c:v>-1025</c:v>
                </c:pt>
                <c:pt idx="117">
                  <c:v>-1075</c:v>
                </c:pt>
                <c:pt idx="118">
                  <c:v>-1175</c:v>
                </c:pt>
                <c:pt idx="119">
                  <c:v>-1275</c:v>
                </c:pt>
                <c:pt idx="120">
                  <c:v>-1375</c:v>
                </c:pt>
                <c:pt idx="121">
                  <c:v>-1475</c:v>
                </c:pt>
                <c:pt idx="122">
                  <c:v>-1575</c:v>
                </c:pt>
                <c:pt idx="123">
                  <c:v>-1675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CE9-4F27-9351-19DBE9590D16}"/>
            </c:ext>
          </c:extLst>
        </c:ser>
        <c:ser>
          <c:idx val="6"/>
          <c:order val="2"/>
          <c:tx>
            <c:strRef>
              <c:f>Dati!$H$1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Dati!$G$2:$G$350</c:f>
              <c:numCache>
                <c:formatCode>General</c:formatCode>
                <c:ptCount val="349"/>
                <c:pt idx="0">
                  <c:v>270</c:v>
                </c:pt>
                <c:pt idx="1">
                  <c:v>271</c:v>
                </c:pt>
                <c:pt idx="2">
                  <c:v>272</c:v>
                </c:pt>
                <c:pt idx="3">
                  <c:v>273</c:v>
                </c:pt>
                <c:pt idx="4">
                  <c:v>274</c:v>
                </c:pt>
                <c:pt idx="5">
                  <c:v>275</c:v>
                </c:pt>
                <c:pt idx="6">
                  <c:v>276</c:v>
                </c:pt>
                <c:pt idx="7">
                  <c:v>277</c:v>
                </c:pt>
                <c:pt idx="8">
                  <c:v>278</c:v>
                </c:pt>
                <c:pt idx="9">
                  <c:v>279</c:v>
                </c:pt>
                <c:pt idx="10">
                  <c:v>280</c:v>
                </c:pt>
                <c:pt idx="11">
                  <c:v>281</c:v>
                </c:pt>
                <c:pt idx="12">
                  <c:v>282</c:v>
                </c:pt>
                <c:pt idx="13">
                  <c:v>283</c:v>
                </c:pt>
                <c:pt idx="14">
                  <c:v>284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288</c:v>
                </c:pt>
                <c:pt idx="19">
                  <c:v>289</c:v>
                </c:pt>
                <c:pt idx="20">
                  <c:v>290</c:v>
                </c:pt>
                <c:pt idx="21">
                  <c:v>291</c:v>
                </c:pt>
                <c:pt idx="22">
                  <c:v>292</c:v>
                </c:pt>
                <c:pt idx="23">
                  <c:v>293</c:v>
                </c:pt>
                <c:pt idx="24">
                  <c:v>294</c:v>
                </c:pt>
                <c:pt idx="25">
                  <c:v>295</c:v>
                </c:pt>
                <c:pt idx="26">
                  <c:v>296</c:v>
                </c:pt>
                <c:pt idx="27">
                  <c:v>297</c:v>
                </c:pt>
                <c:pt idx="28">
                  <c:v>298</c:v>
                </c:pt>
                <c:pt idx="29">
                  <c:v>299</c:v>
                </c:pt>
                <c:pt idx="30">
                  <c:v>300</c:v>
                </c:pt>
                <c:pt idx="31">
                  <c:v>301</c:v>
                </c:pt>
                <c:pt idx="32">
                  <c:v>302</c:v>
                </c:pt>
                <c:pt idx="33">
                  <c:v>303</c:v>
                </c:pt>
                <c:pt idx="34">
                  <c:v>304</c:v>
                </c:pt>
                <c:pt idx="35">
                  <c:v>305</c:v>
                </c:pt>
                <c:pt idx="36">
                  <c:v>306</c:v>
                </c:pt>
                <c:pt idx="37">
                  <c:v>307</c:v>
                </c:pt>
                <c:pt idx="38">
                  <c:v>308</c:v>
                </c:pt>
                <c:pt idx="39">
                  <c:v>309</c:v>
                </c:pt>
                <c:pt idx="40">
                  <c:v>310</c:v>
                </c:pt>
                <c:pt idx="41">
                  <c:v>311</c:v>
                </c:pt>
                <c:pt idx="42">
                  <c:v>312</c:v>
                </c:pt>
                <c:pt idx="43">
                  <c:v>313</c:v>
                </c:pt>
                <c:pt idx="44">
                  <c:v>314</c:v>
                </c:pt>
                <c:pt idx="45">
                  <c:v>315</c:v>
                </c:pt>
                <c:pt idx="46">
                  <c:v>317</c:v>
                </c:pt>
                <c:pt idx="47">
                  <c:v>319</c:v>
                </c:pt>
                <c:pt idx="48">
                  <c:v>321</c:v>
                </c:pt>
                <c:pt idx="49">
                  <c:v>323</c:v>
                </c:pt>
                <c:pt idx="50">
                  <c:v>325</c:v>
                </c:pt>
                <c:pt idx="51">
                  <c:v>327</c:v>
                </c:pt>
                <c:pt idx="52">
                  <c:v>329</c:v>
                </c:pt>
                <c:pt idx="53">
                  <c:v>331</c:v>
                </c:pt>
                <c:pt idx="54">
                  <c:v>333</c:v>
                </c:pt>
                <c:pt idx="55">
                  <c:v>335</c:v>
                </c:pt>
                <c:pt idx="56">
                  <c:v>337</c:v>
                </c:pt>
                <c:pt idx="57">
                  <c:v>339</c:v>
                </c:pt>
                <c:pt idx="58">
                  <c:v>341</c:v>
                </c:pt>
                <c:pt idx="59">
                  <c:v>343</c:v>
                </c:pt>
                <c:pt idx="60">
                  <c:v>345</c:v>
                </c:pt>
                <c:pt idx="61">
                  <c:v>347</c:v>
                </c:pt>
                <c:pt idx="62">
                  <c:v>349</c:v>
                </c:pt>
                <c:pt idx="63">
                  <c:v>351</c:v>
                </c:pt>
                <c:pt idx="64">
                  <c:v>354</c:v>
                </c:pt>
                <c:pt idx="65">
                  <c:v>357</c:v>
                </c:pt>
                <c:pt idx="66">
                  <c:v>360</c:v>
                </c:pt>
                <c:pt idx="67">
                  <c:v>363</c:v>
                </c:pt>
                <c:pt idx="68">
                  <c:v>366</c:v>
                </c:pt>
                <c:pt idx="69">
                  <c:v>369</c:v>
                </c:pt>
                <c:pt idx="70">
                  <c:v>372</c:v>
                </c:pt>
                <c:pt idx="71">
                  <c:v>375</c:v>
                </c:pt>
                <c:pt idx="72">
                  <c:v>379</c:v>
                </c:pt>
                <c:pt idx="73">
                  <c:v>383</c:v>
                </c:pt>
                <c:pt idx="74">
                  <c:v>387</c:v>
                </c:pt>
                <c:pt idx="75">
                  <c:v>391</c:v>
                </c:pt>
                <c:pt idx="76">
                  <c:v>395</c:v>
                </c:pt>
                <c:pt idx="77">
                  <c:v>399</c:v>
                </c:pt>
                <c:pt idx="78">
                  <c:v>403</c:v>
                </c:pt>
                <c:pt idx="79">
                  <c:v>407</c:v>
                </c:pt>
                <c:pt idx="80">
                  <c:v>412</c:v>
                </c:pt>
                <c:pt idx="81">
                  <c:v>417</c:v>
                </c:pt>
                <c:pt idx="82">
                  <c:v>422</c:v>
                </c:pt>
                <c:pt idx="83">
                  <c:v>427</c:v>
                </c:pt>
                <c:pt idx="84">
                  <c:v>432</c:v>
                </c:pt>
                <c:pt idx="85">
                  <c:v>437</c:v>
                </c:pt>
                <c:pt idx="86">
                  <c:v>442</c:v>
                </c:pt>
                <c:pt idx="87">
                  <c:v>447</c:v>
                </c:pt>
                <c:pt idx="88">
                  <c:v>454</c:v>
                </c:pt>
                <c:pt idx="89">
                  <c:v>461</c:v>
                </c:pt>
                <c:pt idx="90">
                  <c:v>468</c:v>
                </c:pt>
                <c:pt idx="91">
                  <c:v>475</c:v>
                </c:pt>
                <c:pt idx="92">
                  <c:v>485</c:v>
                </c:pt>
                <c:pt idx="93">
                  <c:v>495</c:v>
                </c:pt>
                <c:pt idx="94">
                  <c:v>505</c:v>
                </c:pt>
                <c:pt idx="95">
                  <c:v>515</c:v>
                </c:pt>
                <c:pt idx="96">
                  <c:v>525</c:v>
                </c:pt>
                <c:pt idx="97">
                  <c:v>535</c:v>
                </c:pt>
                <c:pt idx="98">
                  <c:v>545</c:v>
                </c:pt>
                <c:pt idx="99">
                  <c:v>555</c:v>
                </c:pt>
                <c:pt idx="100">
                  <c:v>565</c:v>
                </c:pt>
                <c:pt idx="101">
                  <c:v>575</c:v>
                </c:pt>
                <c:pt idx="102">
                  <c:v>595</c:v>
                </c:pt>
                <c:pt idx="103">
                  <c:v>615</c:v>
                </c:pt>
                <c:pt idx="104">
                  <c:v>635</c:v>
                </c:pt>
                <c:pt idx="105">
                  <c:v>655</c:v>
                </c:pt>
                <c:pt idx="106">
                  <c:v>675</c:v>
                </c:pt>
                <c:pt idx="107">
                  <c:v>695</c:v>
                </c:pt>
                <c:pt idx="108">
                  <c:v>715</c:v>
                </c:pt>
                <c:pt idx="109">
                  <c:v>735</c:v>
                </c:pt>
                <c:pt idx="110">
                  <c:v>755</c:v>
                </c:pt>
                <c:pt idx="111">
                  <c:v>775</c:v>
                </c:pt>
                <c:pt idx="112">
                  <c:v>825</c:v>
                </c:pt>
                <c:pt idx="113">
                  <c:v>875</c:v>
                </c:pt>
                <c:pt idx="114">
                  <c:v>925</c:v>
                </c:pt>
                <c:pt idx="115">
                  <c:v>975</c:v>
                </c:pt>
                <c:pt idx="116">
                  <c:v>1025</c:v>
                </c:pt>
                <c:pt idx="117">
                  <c:v>1075</c:v>
                </c:pt>
                <c:pt idx="118">
                  <c:v>1175</c:v>
                </c:pt>
                <c:pt idx="119">
                  <c:v>1275</c:v>
                </c:pt>
                <c:pt idx="120">
                  <c:v>1375</c:v>
                </c:pt>
                <c:pt idx="121">
                  <c:v>1475</c:v>
                </c:pt>
                <c:pt idx="122">
                  <c:v>1575</c:v>
                </c:pt>
                <c:pt idx="123">
                  <c:v>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1675</c:v>
                </c:pt>
              </c:numCache>
            </c:numRef>
          </c:xVal>
          <c:yVal>
            <c:numRef>
              <c:f>Dati!$H$2:$H$350</c:f>
              <c:numCache>
                <c:formatCode>0.00</c:formatCode>
                <c:ptCount val="349"/>
                <c:pt idx="0">
                  <c:v>-270</c:v>
                </c:pt>
                <c:pt idx="1">
                  <c:v>-271</c:v>
                </c:pt>
                <c:pt idx="2">
                  <c:v>-272</c:v>
                </c:pt>
                <c:pt idx="3">
                  <c:v>-273</c:v>
                </c:pt>
                <c:pt idx="4">
                  <c:v>-274</c:v>
                </c:pt>
                <c:pt idx="5">
                  <c:v>-275</c:v>
                </c:pt>
                <c:pt idx="6">
                  <c:v>-276</c:v>
                </c:pt>
                <c:pt idx="7">
                  <c:v>-277</c:v>
                </c:pt>
                <c:pt idx="8">
                  <c:v>-278</c:v>
                </c:pt>
                <c:pt idx="9">
                  <c:v>-279</c:v>
                </c:pt>
                <c:pt idx="10">
                  <c:v>-280</c:v>
                </c:pt>
                <c:pt idx="11">
                  <c:v>-281</c:v>
                </c:pt>
                <c:pt idx="12">
                  <c:v>-282</c:v>
                </c:pt>
                <c:pt idx="13">
                  <c:v>-283</c:v>
                </c:pt>
                <c:pt idx="14">
                  <c:v>-284</c:v>
                </c:pt>
                <c:pt idx="15">
                  <c:v>-285</c:v>
                </c:pt>
                <c:pt idx="16">
                  <c:v>-286</c:v>
                </c:pt>
                <c:pt idx="17">
                  <c:v>-287</c:v>
                </c:pt>
                <c:pt idx="18">
                  <c:v>-288</c:v>
                </c:pt>
                <c:pt idx="19">
                  <c:v>-289</c:v>
                </c:pt>
                <c:pt idx="20">
                  <c:v>-290</c:v>
                </c:pt>
                <c:pt idx="21">
                  <c:v>-291</c:v>
                </c:pt>
                <c:pt idx="22">
                  <c:v>-292</c:v>
                </c:pt>
                <c:pt idx="23">
                  <c:v>-293</c:v>
                </c:pt>
                <c:pt idx="24">
                  <c:v>-294</c:v>
                </c:pt>
                <c:pt idx="25">
                  <c:v>-295</c:v>
                </c:pt>
                <c:pt idx="26">
                  <c:v>-296</c:v>
                </c:pt>
                <c:pt idx="27">
                  <c:v>-297</c:v>
                </c:pt>
                <c:pt idx="28">
                  <c:v>-298</c:v>
                </c:pt>
                <c:pt idx="29">
                  <c:v>-299</c:v>
                </c:pt>
                <c:pt idx="30">
                  <c:v>-300</c:v>
                </c:pt>
                <c:pt idx="31">
                  <c:v>-301</c:v>
                </c:pt>
                <c:pt idx="32">
                  <c:v>-302</c:v>
                </c:pt>
                <c:pt idx="33">
                  <c:v>-303</c:v>
                </c:pt>
                <c:pt idx="34">
                  <c:v>-304</c:v>
                </c:pt>
                <c:pt idx="35">
                  <c:v>-305</c:v>
                </c:pt>
                <c:pt idx="36">
                  <c:v>-306</c:v>
                </c:pt>
                <c:pt idx="37">
                  <c:v>-307</c:v>
                </c:pt>
                <c:pt idx="38">
                  <c:v>-308</c:v>
                </c:pt>
                <c:pt idx="39">
                  <c:v>-309</c:v>
                </c:pt>
                <c:pt idx="40">
                  <c:v>-310</c:v>
                </c:pt>
                <c:pt idx="41">
                  <c:v>-311</c:v>
                </c:pt>
                <c:pt idx="42">
                  <c:v>-312</c:v>
                </c:pt>
                <c:pt idx="43">
                  <c:v>-313</c:v>
                </c:pt>
                <c:pt idx="44">
                  <c:v>-314</c:v>
                </c:pt>
                <c:pt idx="45">
                  <c:v>-315</c:v>
                </c:pt>
                <c:pt idx="46">
                  <c:v>-317</c:v>
                </c:pt>
                <c:pt idx="47">
                  <c:v>-319</c:v>
                </c:pt>
                <c:pt idx="48">
                  <c:v>-321</c:v>
                </c:pt>
                <c:pt idx="49">
                  <c:v>-323</c:v>
                </c:pt>
                <c:pt idx="50">
                  <c:v>-325</c:v>
                </c:pt>
                <c:pt idx="51">
                  <c:v>-327</c:v>
                </c:pt>
                <c:pt idx="52">
                  <c:v>-329</c:v>
                </c:pt>
                <c:pt idx="53">
                  <c:v>-331</c:v>
                </c:pt>
                <c:pt idx="54">
                  <c:v>-333</c:v>
                </c:pt>
                <c:pt idx="55">
                  <c:v>-335</c:v>
                </c:pt>
                <c:pt idx="56">
                  <c:v>-337</c:v>
                </c:pt>
                <c:pt idx="57">
                  <c:v>-339</c:v>
                </c:pt>
                <c:pt idx="58">
                  <c:v>-341</c:v>
                </c:pt>
                <c:pt idx="59">
                  <c:v>-343</c:v>
                </c:pt>
                <c:pt idx="60">
                  <c:v>-345</c:v>
                </c:pt>
                <c:pt idx="61">
                  <c:v>-347</c:v>
                </c:pt>
                <c:pt idx="62">
                  <c:v>-349</c:v>
                </c:pt>
                <c:pt idx="63">
                  <c:v>-351</c:v>
                </c:pt>
                <c:pt idx="64">
                  <c:v>-354</c:v>
                </c:pt>
                <c:pt idx="65">
                  <c:v>-357</c:v>
                </c:pt>
                <c:pt idx="66">
                  <c:v>-360</c:v>
                </c:pt>
                <c:pt idx="67">
                  <c:v>-363</c:v>
                </c:pt>
                <c:pt idx="68">
                  <c:v>-366</c:v>
                </c:pt>
                <c:pt idx="69">
                  <c:v>-369</c:v>
                </c:pt>
                <c:pt idx="70">
                  <c:v>-372</c:v>
                </c:pt>
                <c:pt idx="71">
                  <c:v>-375</c:v>
                </c:pt>
                <c:pt idx="72">
                  <c:v>-379</c:v>
                </c:pt>
                <c:pt idx="73">
                  <c:v>-383</c:v>
                </c:pt>
                <c:pt idx="74">
                  <c:v>-387</c:v>
                </c:pt>
                <c:pt idx="75">
                  <c:v>-391</c:v>
                </c:pt>
                <c:pt idx="76">
                  <c:v>-395</c:v>
                </c:pt>
                <c:pt idx="77">
                  <c:v>-399</c:v>
                </c:pt>
                <c:pt idx="78">
                  <c:v>-403</c:v>
                </c:pt>
                <c:pt idx="79">
                  <c:v>-407</c:v>
                </c:pt>
                <c:pt idx="80">
                  <c:v>-412</c:v>
                </c:pt>
                <c:pt idx="81">
                  <c:v>-417</c:v>
                </c:pt>
                <c:pt idx="82">
                  <c:v>-422</c:v>
                </c:pt>
                <c:pt idx="83">
                  <c:v>-427</c:v>
                </c:pt>
                <c:pt idx="84">
                  <c:v>-432</c:v>
                </c:pt>
                <c:pt idx="85">
                  <c:v>-437</c:v>
                </c:pt>
                <c:pt idx="86">
                  <c:v>-442</c:v>
                </c:pt>
                <c:pt idx="87">
                  <c:v>-447</c:v>
                </c:pt>
                <c:pt idx="88">
                  <c:v>-454</c:v>
                </c:pt>
                <c:pt idx="89">
                  <c:v>-461</c:v>
                </c:pt>
                <c:pt idx="90">
                  <c:v>-468</c:v>
                </c:pt>
                <c:pt idx="91">
                  <c:v>-475</c:v>
                </c:pt>
                <c:pt idx="92">
                  <c:v>-485</c:v>
                </c:pt>
                <c:pt idx="93">
                  <c:v>-495</c:v>
                </c:pt>
                <c:pt idx="94">
                  <c:v>-505</c:v>
                </c:pt>
                <c:pt idx="95">
                  <c:v>-515</c:v>
                </c:pt>
                <c:pt idx="96">
                  <c:v>-525</c:v>
                </c:pt>
                <c:pt idx="97">
                  <c:v>-535</c:v>
                </c:pt>
                <c:pt idx="98">
                  <c:v>-545</c:v>
                </c:pt>
                <c:pt idx="99">
                  <c:v>-555</c:v>
                </c:pt>
                <c:pt idx="100">
                  <c:v>-565</c:v>
                </c:pt>
                <c:pt idx="101">
                  <c:v>-575</c:v>
                </c:pt>
                <c:pt idx="102">
                  <c:v>-595</c:v>
                </c:pt>
                <c:pt idx="103">
                  <c:v>-615</c:v>
                </c:pt>
                <c:pt idx="104">
                  <c:v>-635</c:v>
                </c:pt>
                <c:pt idx="105">
                  <c:v>-655</c:v>
                </c:pt>
                <c:pt idx="106">
                  <c:v>-675</c:v>
                </c:pt>
                <c:pt idx="107">
                  <c:v>-695</c:v>
                </c:pt>
                <c:pt idx="108">
                  <c:v>-715</c:v>
                </c:pt>
                <c:pt idx="109">
                  <c:v>-735</c:v>
                </c:pt>
                <c:pt idx="110">
                  <c:v>-755</c:v>
                </c:pt>
                <c:pt idx="111">
                  <c:v>-775</c:v>
                </c:pt>
                <c:pt idx="112">
                  <c:v>-825</c:v>
                </c:pt>
                <c:pt idx="113">
                  <c:v>-875</c:v>
                </c:pt>
                <c:pt idx="114">
                  <c:v>-925</c:v>
                </c:pt>
                <c:pt idx="115">
                  <c:v>-975</c:v>
                </c:pt>
                <c:pt idx="116">
                  <c:v>-1025</c:v>
                </c:pt>
                <c:pt idx="117">
                  <c:v>-1075</c:v>
                </c:pt>
                <c:pt idx="118">
                  <c:v>-1175</c:v>
                </c:pt>
                <c:pt idx="119">
                  <c:v>-1275</c:v>
                </c:pt>
                <c:pt idx="120">
                  <c:v>-1375</c:v>
                </c:pt>
                <c:pt idx="121">
                  <c:v>-1475</c:v>
                </c:pt>
                <c:pt idx="122">
                  <c:v>-1575</c:v>
                </c:pt>
                <c:pt idx="123">
                  <c:v>-1675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CE9-4F27-9351-19DBE9590D16}"/>
            </c:ext>
          </c:extLst>
        </c:ser>
        <c:ser>
          <c:idx val="7"/>
          <c:order val="3"/>
          <c:tx>
            <c:strRef>
              <c:f>Dati!$H$1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Dati!$G$2:$G$350</c:f>
              <c:numCache>
                <c:formatCode>General</c:formatCode>
                <c:ptCount val="349"/>
                <c:pt idx="0">
                  <c:v>270</c:v>
                </c:pt>
                <c:pt idx="1">
                  <c:v>271</c:v>
                </c:pt>
                <c:pt idx="2">
                  <c:v>272</c:v>
                </c:pt>
                <c:pt idx="3">
                  <c:v>273</c:v>
                </c:pt>
                <c:pt idx="4">
                  <c:v>274</c:v>
                </c:pt>
                <c:pt idx="5">
                  <c:v>275</c:v>
                </c:pt>
                <c:pt idx="6">
                  <c:v>276</c:v>
                </c:pt>
                <c:pt idx="7">
                  <c:v>277</c:v>
                </c:pt>
                <c:pt idx="8">
                  <c:v>278</c:v>
                </c:pt>
                <c:pt idx="9">
                  <c:v>279</c:v>
                </c:pt>
                <c:pt idx="10">
                  <c:v>280</c:v>
                </c:pt>
                <c:pt idx="11">
                  <c:v>281</c:v>
                </c:pt>
                <c:pt idx="12">
                  <c:v>282</c:v>
                </c:pt>
                <c:pt idx="13">
                  <c:v>283</c:v>
                </c:pt>
                <c:pt idx="14">
                  <c:v>284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288</c:v>
                </c:pt>
                <c:pt idx="19">
                  <c:v>289</c:v>
                </c:pt>
                <c:pt idx="20">
                  <c:v>290</c:v>
                </c:pt>
                <c:pt idx="21">
                  <c:v>291</c:v>
                </c:pt>
                <c:pt idx="22">
                  <c:v>292</c:v>
                </c:pt>
                <c:pt idx="23">
                  <c:v>293</c:v>
                </c:pt>
                <c:pt idx="24">
                  <c:v>294</c:v>
                </c:pt>
                <c:pt idx="25">
                  <c:v>295</c:v>
                </c:pt>
                <c:pt idx="26">
                  <c:v>296</c:v>
                </c:pt>
                <c:pt idx="27">
                  <c:v>297</c:v>
                </c:pt>
                <c:pt idx="28">
                  <c:v>298</c:v>
                </c:pt>
                <c:pt idx="29">
                  <c:v>299</c:v>
                </c:pt>
                <c:pt idx="30">
                  <c:v>300</c:v>
                </c:pt>
                <c:pt idx="31">
                  <c:v>301</c:v>
                </c:pt>
                <c:pt idx="32">
                  <c:v>302</c:v>
                </c:pt>
                <c:pt idx="33">
                  <c:v>303</c:v>
                </c:pt>
                <c:pt idx="34">
                  <c:v>304</c:v>
                </c:pt>
                <c:pt idx="35">
                  <c:v>305</c:v>
                </c:pt>
                <c:pt idx="36">
                  <c:v>306</c:v>
                </c:pt>
                <c:pt idx="37">
                  <c:v>307</c:v>
                </c:pt>
                <c:pt idx="38">
                  <c:v>308</c:v>
                </c:pt>
                <c:pt idx="39">
                  <c:v>309</c:v>
                </c:pt>
                <c:pt idx="40">
                  <c:v>310</c:v>
                </c:pt>
                <c:pt idx="41">
                  <c:v>311</c:v>
                </c:pt>
                <c:pt idx="42">
                  <c:v>312</c:v>
                </c:pt>
                <c:pt idx="43">
                  <c:v>313</c:v>
                </c:pt>
                <c:pt idx="44">
                  <c:v>314</c:v>
                </c:pt>
                <c:pt idx="45">
                  <c:v>315</c:v>
                </c:pt>
                <c:pt idx="46">
                  <c:v>317</c:v>
                </c:pt>
                <c:pt idx="47">
                  <c:v>319</c:v>
                </c:pt>
                <c:pt idx="48">
                  <c:v>321</c:v>
                </c:pt>
                <c:pt idx="49">
                  <c:v>323</c:v>
                </c:pt>
                <c:pt idx="50">
                  <c:v>325</c:v>
                </c:pt>
                <c:pt idx="51">
                  <c:v>327</c:v>
                </c:pt>
                <c:pt idx="52">
                  <c:v>329</c:v>
                </c:pt>
                <c:pt idx="53">
                  <c:v>331</c:v>
                </c:pt>
                <c:pt idx="54">
                  <c:v>333</c:v>
                </c:pt>
                <c:pt idx="55">
                  <c:v>335</c:v>
                </c:pt>
                <c:pt idx="56">
                  <c:v>337</c:v>
                </c:pt>
                <c:pt idx="57">
                  <c:v>339</c:v>
                </c:pt>
                <c:pt idx="58">
                  <c:v>341</c:v>
                </c:pt>
                <c:pt idx="59">
                  <c:v>343</c:v>
                </c:pt>
                <c:pt idx="60">
                  <c:v>345</c:v>
                </c:pt>
                <c:pt idx="61">
                  <c:v>347</c:v>
                </c:pt>
                <c:pt idx="62">
                  <c:v>349</c:v>
                </c:pt>
                <c:pt idx="63">
                  <c:v>351</c:v>
                </c:pt>
                <c:pt idx="64">
                  <c:v>354</c:v>
                </c:pt>
                <c:pt idx="65">
                  <c:v>357</c:v>
                </c:pt>
                <c:pt idx="66">
                  <c:v>360</c:v>
                </c:pt>
                <c:pt idx="67">
                  <c:v>363</c:v>
                </c:pt>
                <c:pt idx="68">
                  <c:v>366</c:v>
                </c:pt>
                <c:pt idx="69">
                  <c:v>369</c:v>
                </c:pt>
                <c:pt idx="70">
                  <c:v>372</c:v>
                </c:pt>
                <c:pt idx="71">
                  <c:v>375</c:v>
                </c:pt>
                <c:pt idx="72">
                  <c:v>379</c:v>
                </c:pt>
                <c:pt idx="73">
                  <c:v>383</c:v>
                </c:pt>
                <c:pt idx="74">
                  <c:v>387</c:v>
                </c:pt>
                <c:pt idx="75">
                  <c:v>391</c:v>
                </c:pt>
                <c:pt idx="76">
                  <c:v>395</c:v>
                </c:pt>
                <c:pt idx="77">
                  <c:v>399</c:v>
                </c:pt>
                <c:pt idx="78">
                  <c:v>403</c:v>
                </c:pt>
                <c:pt idx="79">
                  <c:v>407</c:v>
                </c:pt>
                <c:pt idx="80">
                  <c:v>412</c:v>
                </c:pt>
                <c:pt idx="81">
                  <c:v>417</c:v>
                </c:pt>
                <c:pt idx="82">
                  <c:v>422</c:v>
                </c:pt>
                <c:pt idx="83">
                  <c:v>427</c:v>
                </c:pt>
                <c:pt idx="84">
                  <c:v>432</c:v>
                </c:pt>
                <c:pt idx="85">
                  <c:v>437</c:v>
                </c:pt>
                <c:pt idx="86">
                  <c:v>442</c:v>
                </c:pt>
                <c:pt idx="87">
                  <c:v>447</c:v>
                </c:pt>
                <c:pt idx="88">
                  <c:v>454</c:v>
                </c:pt>
                <c:pt idx="89">
                  <c:v>461</c:v>
                </c:pt>
                <c:pt idx="90">
                  <c:v>468</c:v>
                </c:pt>
                <c:pt idx="91">
                  <c:v>475</c:v>
                </c:pt>
                <c:pt idx="92">
                  <c:v>485</c:v>
                </c:pt>
                <c:pt idx="93">
                  <c:v>495</c:v>
                </c:pt>
                <c:pt idx="94">
                  <c:v>505</c:v>
                </c:pt>
                <c:pt idx="95">
                  <c:v>515</c:v>
                </c:pt>
                <c:pt idx="96">
                  <c:v>525</c:v>
                </c:pt>
                <c:pt idx="97">
                  <c:v>535</c:v>
                </c:pt>
                <c:pt idx="98">
                  <c:v>545</c:v>
                </c:pt>
                <c:pt idx="99">
                  <c:v>555</c:v>
                </c:pt>
                <c:pt idx="100">
                  <c:v>565</c:v>
                </c:pt>
                <c:pt idx="101">
                  <c:v>575</c:v>
                </c:pt>
                <c:pt idx="102">
                  <c:v>595</c:v>
                </c:pt>
                <c:pt idx="103">
                  <c:v>615</c:v>
                </c:pt>
                <c:pt idx="104">
                  <c:v>635</c:v>
                </c:pt>
                <c:pt idx="105">
                  <c:v>655</c:v>
                </c:pt>
                <c:pt idx="106">
                  <c:v>675</c:v>
                </c:pt>
                <c:pt idx="107">
                  <c:v>695</c:v>
                </c:pt>
                <c:pt idx="108">
                  <c:v>715</c:v>
                </c:pt>
                <c:pt idx="109">
                  <c:v>735</c:v>
                </c:pt>
                <c:pt idx="110">
                  <c:v>755</c:v>
                </c:pt>
                <c:pt idx="111">
                  <c:v>775</c:v>
                </c:pt>
                <c:pt idx="112">
                  <c:v>825</c:v>
                </c:pt>
                <c:pt idx="113">
                  <c:v>875</c:v>
                </c:pt>
                <c:pt idx="114">
                  <c:v>925</c:v>
                </c:pt>
                <c:pt idx="115">
                  <c:v>975</c:v>
                </c:pt>
                <c:pt idx="116">
                  <c:v>1025</c:v>
                </c:pt>
                <c:pt idx="117">
                  <c:v>1075</c:v>
                </c:pt>
                <c:pt idx="118">
                  <c:v>1175</c:v>
                </c:pt>
                <c:pt idx="119">
                  <c:v>1275</c:v>
                </c:pt>
                <c:pt idx="120">
                  <c:v>1375</c:v>
                </c:pt>
                <c:pt idx="121">
                  <c:v>1475</c:v>
                </c:pt>
                <c:pt idx="122">
                  <c:v>1575</c:v>
                </c:pt>
                <c:pt idx="123">
                  <c:v>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1675</c:v>
                </c:pt>
              </c:numCache>
            </c:numRef>
          </c:xVal>
          <c:yVal>
            <c:numRef>
              <c:f>Dati!$H$2:$H$350</c:f>
              <c:numCache>
                <c:formatCode>0.00</c:formatCode>
                <c:ptCount val="349"/>
                <c:pt idx="0">
                  <c:v>-270</c:v>
                </c:pt>
                <c:pt idx="1">
                  <c:v>-271</c:v>
                </c:pt>
                <c:pt idx="2">
                  <c:v>-272</c:v>
                </c:pt>
                <c:pt idx="3">
                  <c:v>-273</c:v>
                </c:pt>
                <c:pt idx="4">
                  <c:v>-274</c:v>
                </c:pt>
                <c:pt idx="5">
                  <c:v>-275</c:v>
                </c:pt>
                <c:pt idx="6">
                  <c:v>-276</c:v>
                </c:pt>
                <c:pt idx="7">
                  <c:v>-277</c:v>
                </c:pt>
                <c:pt idx="8">
                  <c:v>-278</c:v>
                </c:pt>
                <c:pt idx="9">
                  <c:v>-279</c:v>
                </c:pt>
                <c:pt idx="10">
                  <c:v>-280</c:v>
                </c:pt>
                <c:pt idx="11">
                  <c:v>-281</c:v>
                </c:pt>
                <c:pt idx="12">
                  <c:v>-282</c:v>
                </c:pt>
                <c:pt idx="13">
                  <c:v>-283</c:v>
                </c:pt>
                <c:pt idx="14">
                  <c:v>-284</c:v>
                </c:pt>
                <c:pt idx="15">
                  <c:v>-285</c:v>
                </c:pt>
                <c:pt idx="16">
                  <c:v>-286</c:v>
                </c:pt>
                <c:pt idx="17">
                  <c:v>-287</c:v>
                </c:pt>
                <c:pt idx="18">
                  <c:v>-288</c:v>
                </c:pt>
                <c:pt idx="19">
                  <c:v>-289</c:v>
                </c:pt>
                <c:pt idx="20">
                  <c:v>-290</c:v>
                </c:pt>
                <c:pt idx="21">
                  <c:v>-291</c:v>
                </c:pt>
                <c:pt idx="22">
                  <c:v>-292</c:v>
                </c:pt>
                <c:pt idx="23">
                  <c:v>-293</c:v>
                </c:pt>
                <c:pt idx="24">
                  <c:v>-294</c:v>
                </c:pt>
                <c:pt idx="25">
                  <c:v>-295</c:v>
                </c:pt>
                <c:pt idx="26">
                  <c:v>-296</c:v>
                </c:pt>
                <c:pt idx="27">
                  <c:v>-297</c:v>
                </c:pt>
                <c:pt idx="28">
                  <c:v>-298</c:v>
                </c:pt>
                <c:pt idx="29">
                  <c:v>-299</c:v>
                </c:pt>
                <c:pt idx="30">
                  <c:v>-300</c:v>
                </c:pt>
                <c:pt idx="31">
                  <c:v>-301</c:v>
                </c:pt>
                <c:pt idx="32">
                  <c:v>-302</c:v>
                </c:pt>
                <c:pt idx="33">
                  <c:v>-303</c:v>
                </c:pt>
                <c:pt idx="34">
                  <c:v>-304</c:v>
                </c:pt>
                <c:pt idx="35">
                  <c:v>-305</c:v>
                </c:pt>
                <c:pt idx="36">
                  <c:v>-306</c:v>
                </c:pt>
                <c:pt idx="37">
                  <c:v>-307</c:v>
                </c:pt>
                <c:pt idx="38">
                  <c:v>-308</c:v>
                </c:pt>
                <c:pt idx="39">
                  <c:v>-309</c:v>
                </c:pt>
                <c:pt idx="40">
                  <c:v>-310</c:v>
                </c:pt>
                <c:pt idx="41">
                  <c:v>-311</c:v>
                </c:pt>
                <c:pt idx="42">
                  <c:v>-312</c:v>
                </c:pt>
                <c:pt idx="43">
                  <c:v>-313</c:v>
                </c:pt>
                <c:pt idx="44">
                  <c:v>-314</c:v>
                </c:pt>
                <c:pt idx="45">
                  <c:v>-315</c:v>
                </c:pt>
                <c:pt idx="46">
                  <c:v>-317</c:v>
                </c:pt>
                <c:pt idx="47">
                  <c:v>-319</c:v>
                </c:pt>
                <c:pt idx="48">
                  <c:v>-321</c:v>
                </c:pt>
                <c:pt idx="49">
                  <c:v>-323</c:v>
                </c:pt>
                <c:pt idx="50">
                  <c:v>-325</c:v>
                </c:pt>
                <c:pt idx="51">
                  <c:v>-327</c:v>
                </c:pt>
                <c:pt idx="52">
                  <c:v>-329</c:v>
                </c:pt>
                <c:pt idx="53">
                  <c:v>-331</c:v>
                </c:pt>
                <c:pt idx="54">
                  <c:v>-333</c:v>
                </c:pt>
                <c:pt idx="55">
                  <c:v>-335</c:v>
                </c:pt>
                <c:pt idx="56">
                  <c:v>-337</c:v>
                </c:pt>
                <c:pt idx="57">
                  <c:v>-339</c:v>
                </c:pt>
                <c:pt idx="58">
                  <c:v>-341</c:v>
                </c:pt>
                <c:pt idx="59">
                  <c:v>-343</c:v>
                </c:pt>
                <c:pt idx="60">
                  <c:v>-345</c:v>
                </c:pt>
                <c:pt idx="61">
                  <c:v>-347</c:v>
                </c:pt>
                <c:pt idx="62">
                  <c:v>-349</c:v>
                </c:pt>
                <c:pt idx="63">
                  <c:v>-351</c:v>
                </c:pt>
                <c:pt idx="64">
                  <c:v>-354</c:v>
                </c:pt>
                <c:pt idx="65">
                  <c:v>-357</c:v>
                </c:pt>
                <c:pt idx="66">
                  <c:v>-360</c:v>
                </c:pt>
                <c:pt idx="67">
                  <c:v>-363</c:v>
                </c:pt>
                <c:pt idx="68">
                  <c:v>-366</c:v>
                </c:pt>
                <c:pt idx="69">
                  <c:v>-369</c:v>
                </c:pt>
                <c:pt idx="70">
                  <c:v>-372</c:v>
                </c:pt>
                <c:pt idx="71">
                  <c:v>-375</c:v>
                </c:pt>
                <c:pt idx="72">
                  <c:v>-379</c:v>
                </c:pt>
                <c:pt idx="73">
                  <c:v>-383</c:v>
                </c:pt>
                <c:pt idx="74">
                  <c:v>-387</c:v>
                </c:pt>
                <c:pt idx="75">
                  <c:v>-391</c:v>
                </c:pt>
                <c:pt idx="76">
                  <c:v>-395</c:v>
                </c:pt>
                <c:pt idx="77">
                  <c:v>-399</c:v>
                </c:pt>
                <c:pt idx="78">
                  <c:v>-403</c:v>
                </c:pt>
                <c:pt idx="79">
                  <c:v>-407</c:v>
                </c:pt>
                <c:pt idx="80">
                  <c:v>-412</c:v>
                </c:pt>
                <c:pt idx="81">
                  <c:v>-417</c:v>
                </c:pt>
                <c:pt idx="82">
                  <c:v>-422</c:v>
                </c:pt>
                <c:pt idx="83">
                  <c:v>-427</c:v>
                </c:pt>
                <c:pt idx="84">
                  <c:v>-432</c:v>
                </c:pt>
                <c:pt idx="85">
                  <c:v>-437</c:v>
                </c:pt>
                <c:pt idx="86">
                  <c:v>-442</c:v>
                </c:pt>
                <c:pt idx="87">
                  <c:v>-447</c:v>
                </c:pt>
                <c:pt idx="88">
                  <c:v>-454</c:v>
                </c:pt>
                <c:pt idx="89">
                  <c:v>-461</c:v>
                </c:pt>
                <c:pt idx="90">
                  <c:v>-468</c:v>
                </c:pt>
                <c:pt idx="91">
                  <c:v>-475</c:v>
                </c:pt>
                <c:pt idx="92">
                  <c:v>-485</c:v>
                </c:pt>
                <c:pt idx="93">
                  <c:v>-495</c:v>
                </c:pt>
                <c:pt idx="94">
                  <c:v>-505</c:v>
                </c:pt>
                <c:pt idx="95">
                  <c:v>-515</c:v>
                </c:pt>
                <c:pt idx="96">
                  <c:v>-525</c:v>
                </c:pt>
                <c:pt idx="97">
                  <c:v>-535</c:v>
                </c:pt>
                <c:pt idx="98">
                  <c:v>-545</c:v>
                </c:pt>
                <c:pt idx="99">
                  <c:v>-555</c:v>
                </c:pt>
                <c:pt idx="100">
                  <c:v>-565</c:v>
                </c:pt>
                <c:pt idx="101">
                  <c:v>-575</c:v>
                </c:pt>
                <c:pt idx="102">
                  <c:v>-595</c:v>
                </c:pt>
                <c:pt idx="103">
                  <c:v>-615</c:v>
                </c:pt>
                <c:pt idx="104">
                  <c:v>-635</c:v>
                </c:pt>
                <c:pt idx="105">
                  <c:v>-655</c:v>
                </c:pt>
                <c:pt idx="106">
                  <c:v>-675</c:v>
                </c:pt>
                <c:pt idx="107">
                  <c:v>-695</c:v>
                </c:pt>
                <c:pt idx="108">
                  <c:v>-715</c:v>
                </c:pt>
                <c:pt idx="109">
                  <c:v>-735</c:v>
                </c:pt>
                <c:pt idx="110">
                  <c:v>-755</c:v>
                </c:pt>
                <c:pt idx="111">
                  <c:v>-775</c:v>
                </c:pt>
                <c:pt idx="112">
                  <c:v>-825</c:v>
                </c:pt>
                <c:pt idx="113">
                  <c:v>-875</c:v>
                </c:pt>
                <c:pt idx="114">
                  <c:v>-925</c:v>
                </c:pt>
                <c:pt idx="115">
                  <c:v>-975</c:v>
                </c:pt>
                <c:pt idx="116">
                  <c:v>-1025</c:v>
                </c:pt>
                <c:pt idx="117">
                  <c:v>-1075</c:v>
                </c:pt>
                <c:pt idx="118">
                  <c:v>-1175</c:v>
                </c:pt>
                <c:pt idx="119">
                  <c:v>-1275</c:v>
                </c:pt>
                <c:pt idx="120">
                  <c:v>-1375</c:v>
                </c:pt>
                <c:pt idx="121">
                  <c:v>-1475</c:v>
                </c:pt>
                <c:pt idx="122">
                  <c:v>-1575</c:v>
                </c:pt>
                <c:pt idx="123">
                  <c:v>-1675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CE9-4F27-9351-19DBE9590D16}"/>
            </c:ext>
          </c:extLst>
        </c:ser>
        <c:ser>
          <c:idx val="2"/>
          <c:order val="4"/>
          <c:tx>
            <c:strRef>
              <c:f>Dati!$H$1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Dati!$G$2:$G$350</c:f>
              <c:numCache>
                <c:formatCode>General</c:formatCode>
                <c:ptCount val="349"/>
                <c:pt idx="0">
                  <c:v>270</c:v>
                </c:pt>
                <c:pt idx="1">
                  <c:v>271</c:v>
                </c:pt>
                <c:pt idx="2">
                  <c:v>272</c:v>
                </c:pt>
                <c:pt idx="3">
                  <c:v>273</c:v>
                </c:pt>
                <c:pt idx="4">
                  <c:v>274</c:v>
                </c:pt>
                <c:pt idx="5">
                  <c:v>275</c:v>
                </c:pt>
                <c:pt idx="6">
                  <c:v>276</c:v>
                </c:pt>
                <c:pt idx="7">
                  <c:v>277</c:v>
                </c:pt>
                <c:pt idx="8">
                  <c:v>278</c:v>
                </c:pt>
                <c:pt idx="9">
                  <c:v>279</c:v>
                </c:pt>
                <c:pt idx="10">
                  <c:v>280</c:v>
                </c:pt>
                <c:pt idx="11">
                  <c:v>281</c:v>
                </c:pt>
                <c:pt idx="12">
                  <c:v>282</c:v>
                </c:pt>
                <c:pt idx="13">
                  <c:v>283</c:v>
                </c:pt>
                <c:pt idx="14">
                  <c:v>284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288</c:v>
                </c:pt>
                <c:pt idx="19">
                  <c:v>289</c:v>
                </c:pt>
                <c:pt idx="20">
                  <c:v>290</c:v>
                </c:pt>
                <c:pt idx="21">
                  <c:v>291</c:v>
                </c:pt>
                <c:pt idx="22">
                  <c:v>292</c:v>
                </c:pt>
                <c:pt idx="23">
                  <c:v>293</c:v>
                </c:pt>
                <c:pt idx="24">
                  <c:v>294</c:v>
                </c:pt>
                <c:pt idx="25">
                  <c:v>295</c:v>
                </c:pt>
                <c:pt idx="26">
                  <c:v>296</c:v>
                </c:pt>
                <c:pt idx="27">
                  <c:v>297</c:v>
                </c:pt>
                <c:pt idx="28">
                  <c:v>298</c:v>
                </c:pt>
                <c:pt idx="29">
                  <c:v>299</c:v>
                </c:pt>
                <c:pt idx="30">
                  <c:v>300</c:v>
                </c:pt>
                <c:pt idx="31">
                  <c:v>301</c:v>
                </c:pt>
                <c:pt idx="32">
                  <c:v>302</c:v>
                </c:pt>
                <c:pt idx="33">
                  <c:v>303</c:v>
                </c:pt>
                <c:pt idx="34">
                  <c:v>304</c:v>
                </c:pt>
                <c:pt idx="35">
                  <c:v>305</c:v>
                </c:pt>
                <c:pt idx="36">
                  <c:v>306</c:v>
                </c:pt>
                <c:pt idx="37">
                  <c:v>307</c:v>
                </c:pt>
                <c:pt idx="38">
                  <c:v>308</c:v>
                </c:pt>
                <c:pt idx="39">
                  <c:v>309</c:v>
                </c:pt>
                <c:pt idx="40">
                  <c:v>310</c:v>
                </c:pt>
                <c:pt idx="41">
                  <c:v>311</c:v>
                </c:pt>
                <c:pt idx="42">
                  <c:v>312</c:v>
                </c:pt>
                <c:pt idx="43">
                  <c:v>313</c:v>
                </c:pt>
                <c:pt idx="44">
                  <c:v>314</c:v>
                </c:pt>
                <c:pt idx="45">
                  <c:v>315</c:v>
                </c:pt>
                <c:pt idx="46">
                  <c:v>317</c:v>
                </c:pt>
                <c:pt idx="47">
                  <c:v>319</c:v>
                </c:pt>
                <c:pt idx="48">
                  <c:v>321</c:v>
                </c:pt>
                <c:pt idx="49">
                  <c:v>323</c:v>
                </c:pt>
                <c:pt idx="50">
                  <c:v>325</c:v>
                </c:pt>
                <c:pt idx="51">
                  <c:v>327</c:v>
                </c:pt>
                <c:pt idx="52">
                  <c:v>329</c:v>
                </c:pt>
                <c:pt idx="53">
                  <c:v>331</c:v>
                </c:pt>
                <c:pt idx="54">
                  <c:v>333</c:v>
                </c:pt>
                <c:pt idx="55">
                  <c:v>335</c:v>
                </c:pt>
                <c:pt idx="56">
                  <c:v>337</c:v>
                </c:pt>
                <c:pt idx="57">
                  <c:v>339</c:v>
                </c:pt>
                <c:pt idx="58">
                  <c:v>341</c:v>
                </c:pt>
                <c:pt idx="59">
                  <c:v>343</c:v>
                </c:pt>
                <c:pt idx="60">
                  <c:v>345</c:v>
                </c:pt>
                <c:pt idx="61">
                  <c:v>347</c:v>
                </c:pt>
                <c:pt idx="62">
                  <c:v>349</c:v>
                </c:pt>
                <c:pt idx="63">
                  <c:v>351</c:v>
                </c:pt>
                <c:pt idx="64">
                  <c:v>354</c:v>
                </c:pt>
                <c:pt idx="65">
                  <c:v>357</c:v>
                </c:pt>
                <c:pt idx="66">
                  <c:v>360</c:v>
                </c:pt>
                <c:pt idx="67">
                  <c:v>363</c:v>
                </c:pt>
                <c:pt idx="68">
                  <c:v>366</c:v>
                </c:pt>
                <c:pt idx="69">
                  <c:v>369</c:v>
                </c:pt>
                <c:pt idx="70">
                  <c:v>372</c:v>
                </c:pt>
                <c:pt idx="71">
                  <c:v>375</c:v>
                </c:pt>
                <c:pt idx="72">
                  <c:v>379</c:v>
                </c:pt>
                <c:pt idx="73">
                  <c:v>383</c:v>
                </c:pt>
                <c:pt idx="74">
                  <c:v>387</c:v>
                </c:pt>
                <c:pt idx="75">
                  <c:v>391</c:v>
                </c:pt>
                <c:pt idx="76">
                  <c:v>395</c:v>
                </c:pt>
                <c:pt idx="77">
                  <c:v>399</c:v>
                </c:pt>
                <c:pt idx="78">
                  <c:v>403</c:v>
                </c:pt>
                <c:pt idx="79">
                  <c:v>407</c:v>
                </c:pt>
                <c:pt idx="80">
                  <c:v>412</c:v>
                </c:pt>
                <c:pt idx="81">
                  <c:v>417</c:v>
                </c:pt>
                <c:pt idx="82">
                  <c:v>422</c:v>
                </c:pt>
                <c:pt idx="83">
                  <c:v>427</c:v>
                </c:pt>
                <c:pt idx="84">
                  <c:v>432</c:v>
                </c:pt>
                <c:pt idx="85">
                  <c:v>437</c:v>
                </c:pt>
                <c:pt idx="86">
                  <c:v>442</c:v>
                </c:pt>
                <c:pt idx="87">
                  <c:v>447</c:v>
                </c:pt>
                <c:pt idx="88">
                  <c:v>454</c:v>
                </c:pt>
                <c:pt idx="89">
                  <c:v>461</c:v>
                </c:pt>
                <c:pt idx="90">
                  <c:v>468</c:v>
                </c:pt>
                <c:pt idx="91">
                  <c:v>475</c:v>
                </c:pt>
                <c:pt idx="92">
                  <c:v>485</c:v>
                </c:pt>
                <c:pt idx="93">
                  <c:v>495</c:v>
                </c:pt>
                <c:pt idx="94">
                  <c:v>505</c:v>
                </c:pt>
                <c:pt idx="95">
                  <c:v>515</c:v>
                </c:pt>
                <c:pt idx="96">
                  <c:v>525</c:v>
                </c:pt>
                <c:pt idx="97">
                  <c:v>535</c:v>
                </c:pt>
                <c:pt idx="98">
                  <c:v>545</c:v>
                </c:pt>
                <c:pt idx="99">
                  <c:v>555</c:v>
                </c:pt>
                <c:pt idx="100">
                  <c:v>565</c:v>
                </c:pt>
                <c:pt idx="101">
                  <c:v>575</c:v>
                </c:pt>
                <c:pt idx="102">
                  <c:v>595</c:v>
                </c:pt>
                <c:pt idx="103">
                  <c:v>615</c:v>
                </c:pt>
                <c:pt idx="104">
                  <c:v>635</c:v>
                </c:pt>
                <c:pt idx="105">
                  <c:v>655</c:v>
                </c:pt>
                <c:pt idx="106">
                  <c:v>675</c:v>
                </c:pt>
                <c:pt idx="107">
                  <c:v>695</c:v>
                </c:pt>
                <c:pt idx="108">
                  <c:v>715</c:v>
                </c:pt>
                <c:pt idx="109">
                  <c:v>735</c:v>
                </c:pt>
                <c:pt idx="110">
                  <c:v>755</c:v>
                </c:pt>
                <c:pt idx="111">
                  <c:v>775</c:v>
                </c:pt>
                <c:pt idx="112">
                  <c:v>825</c:v>
                </c:pt>
                <c:pt idx="113">
                  <c:v>875</c:v>
                </c:pt>
                <c:pt idx="114">
                  <c:v>925</c:v>
                </c:pt>
                <c:pt idx="115">
                  <c:v>975</c:v>
                </c:pt>
                <c:pt idx="116">
                  <c:v>1025</c:v>
                </c:pt>
                <c:pt idx="117">
                  <c:v>1075</c:v>
                </c:pt>
                <c:pt idx="118">
                  <c:v>1175</c:v>
                </c:pt>
                <c:pt idx="119">
                  <c:v>1275</c:v>
                </c:pt>
                <c:pt idx="120">
                  <c:v>1375</c:v>
                </c:pt>
                <c:pt idx="121">
                  <c:v>1475</c:v>
                </c:pt>
                <c:pt idx="122">
                  <c:v>1575</c:v>
                </c:pt>
                <c:pt idx="123">
                  <c:v>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1675</c:v>
                </c:pt>
              </c:numCache>
            </c:numRef>
          </c:xVal>
          <c:yVal>
            <c:numRef>
              <c:f>Dati!$H$2:$H$350</c:f>
              <c:numCache>
                <c:formatCode>0.00</c:formatCode>
                <c:ptCount val="349"/>
                <c:pt idx="0">
                  <c:v>-270</c:v>
                </c:pt>
                <c:pt idx="1">
                  <c:v>-271</c:v>
                </c:pt>
                <c:pt idx="2">
                  <c:v>-272</c:v>
                </c:pt>
                <c:pt idx="3">
                  <c:v>-273</c:v>
                </c:pt>
                <c:pt idx="4">
                  <c:v>-274</c:v>
                </c:pt>
                <c:pt idx="5">
                  <c:v>-275</c:v>
                </c:pt>
                <c:pt idx="6">
                  <c:v>-276</c:v>
                </c:pt>
                <c:pt idx="7">
                  <c:v>-277</c:v>
                </c:pt>
                <c:pt idx="8">
                  <c:v>-278</c:v>
                </c:pt>
                <c:pt idx="9">
                  <c:v>-279</c:v>
                </c:pt>
                <c:pt idx="10">
                  <c:v>-280</c:v>
                </c:pt>
                <c:pt idx="11">
                  <c:v>-281</c:v>
                </c:pt>
                <c:pt idx="12">
                  <c:v>-282</c:v>
                </c:pt>
                <c:pt idx="13">
                  <c:v>-283</c:v>
                </c:pt>
                <c:pt idx="14">
                  <c:v>-284</c:v>
                </c:pt>
                <c:pt idx="15">
                  <c:v>-285</c:v>
                </c:pt>
                <c:pt idx="16">
                  <c:v>-286</c:v>
                </c:pt>
                <c:pt idx="17">
                  <c:v>-287</c:v>
                </c:pt>
                <c:pt idx="18">
                  <c:v>-288</c:v>
                </c:pt>
                <c:pt idx="19">
                  <c:v>-289</c:v>
                </c:pt>
                <c:pt idx="20">
                  <c:v>-290</c:v>
                </c:pt>
                <c:pt idx="21">
                  <c:v>-291</c:v>
                </c:pt>
                <c:pt idx="22">
                  <c:v>-292</c:v>
                </c:pt>
                <c:pt idx="23">
                  <c:v>-293</c:v>
                </c:pt>
                <c:pt idx="24">
                  <c:v>-294</c:v>
                </c:pt>
                <c:pt idx="25">
                  <c:v>-295</c:v>
                </c:pt>
                <c:pt idx="26">
                  <c:v>-296</c:v>
                </c:pt>
                <c:pt idx="27">
                  <c:v>-297</c:v>
                </c:pt>
                <c:pt idx="28">
                  <c:v>-298</c:v>
                </c:pt>
                <c:pt idx="29">
                  <c:v>-299</c:v>
                </c:pt>
                <c:pt idx="30">
                  <c:v>-300</c:v>
                </c:pt>
                <c:pt idx="31">
                  <c:v>-301</c:v>
                </c:pt>
                <c:pt idx="32">
                  <c:v>-302</c:v>
                </c:pt>
                <c:pt idx="33">
                  <c:v>-303</c:v>
                </c:pt>
                <c:pt idx="34">
                  <c:v>-304</c:v>
                </c:pt>
                <c:pt idx="35">
                  <c:v>-305</c:v>
                </c:pt>
                <c:pt idx="36">
                  <c:v>-306</c:v>
                </c:pt>
                <c:pt idx="37">
                  <c:v>-307</c:v>
                </c:pt>
                <c:pt idx="38">
                  <c:v>-308</c:v>
                </c:pt>
                <c:pt idx="39">
                  <c:v>-309</c:v>
                </c:pt>
                <c:pt idx="40">
                  <c:v>-310</c:v>
                </c:pt>
                <c:pt idx="41">
                  <c:v>-311</c:v>
                </c:pt>
                <c:pt idx="42">
                  <c:v>-312</c:v>
                </c:pt>
                <c:pt idx="43">
                  <c:v>-313</c:v>
                </c:pt>
                <c:pt idx="44">
                  <c:v>-314</c:v>
                </c:pt>
                <c:pt idx="45">
                  <c:v>-315</c:v>
                </c:pt>
                <c:pt idx="46">
                  <c:v>-317</c:v>
                </c:pt>
                <c:pt idx="47">
                  <c:v>-319</c:v>
                </c:pt>
                <c:pt idx="48">
                  <c:v>-321</c:v>
                </c:pt>
                <c:pt idx="49">
                  <c:v>-323</c:v>
                </c:pt>
                <c:pt idx="50">
                  <c:v>-325</c:v>
                </c:pt>
                <c:pt idx="51">
                  <c:v>-327</c:v>
                </c:pt>
                <c:pt idx="52">
                  <c:v>-329</c:v>
                </c:pt>
                <c:pt idx="53">
                  <c:v>-331</c:v>
                </c:pt>
                <c:pt idx="54">
                  <c:v>-333</c:v>
                </c:pt>
                <c:pt idx="55">
                  <c:v>-335</c:v>
                </c:pt>
                <c:pt idx="56">
                  <c:v>-337</c:v>
                </c:pt>
                <c:pt idx="57">
                  <c:v>-339</c:v>
                </c:pt>
                <c:pt idx="58">
                  <c:v>-341</c:v>
                </c:pt>
                <c:pt idx="59">
                  <c:v>-343</c:v>
                </c:pt>
                <c:pt idx="60">
                  <c:v>-345</c:v>
                </c:pt>
                <c:pt idx="61">
                  <c:v>-347</c:v>
                </c:pt>
                <c:pt idx="62">
                  <c:v>-349</c:v>
                </c:pt>
                <c:pt idx="63">
                  <c:v>-351</c:v>
                </c:pt>
                <c:pt idx="64">
                  <c:v>-354</c:v>
                </c:pt>
                <c:pt idx="65">
                  <c:v>-357</c:v>
                </c:pt>
                <c:pt idx="66">
                  <c:v>-360</c:v>
                </c:pt>
                <c:pt idx="67">
                  <c:v>-363</c:v>
                </c:pt>
                <c:pt idx="68">
                  <c:v>-366</c:v>
                </c:pt>
                <c:pt idx="69">
                  <c:v>-369</c:v>
                </c:pt>
                <c:pt idx="70">
                  <c:v>-372</c:v>
                </c:pt>
                <c:pt idx="71">
                  <c:v>-375</c:v>
                </c:pt>
                <c:pt idx="72">
                  <c:v>-379</c:v>
                </c:pt>
                <c:pt idx="73">
                  <c:v>-383</c:v>
                </c:pt>
                <c:pt idx="74">
                  <c:v>-387</c:v>
                </c:pt>
                <c:pt idx="75">
                  <c:v>-391</c:v>
                </c:pt>
                <c:pt idx="76">
                  <c:v>-395</c:v>
                </c:pt>
                <c:pt idx="77">
                  <c:v>-399</c:v>
                </c:pt>
                <c:pt idx="78">
                  <c:v>-403</c:v>
                </c:pt>
                <c:pt idx="79">
                  <c:v>-407</c:v>
                </c:pt>
                <c:pt idx="80">
                  <c:v>-412</c:v>
                </c:pt>
                <c:pt idx="81">
                  <c:v>-417</c:v>
                </c:pt>
                <c:pt idx="82">
                  <c:v>-422</c:v>
                </c:pt>
                <c:pt idx="83">
                  <c:v>-427</c:v>
                </c:pt>
                <c:pt idx="84">
                  <c:v>-432</c:v>
                </c:pt>
                <c:pt idx="85">
                  <c:v>-437</c:v>
                </c:pt>
                <c:pt idx="86">
                  <c:v>-442</c:v>
                </c:pt>
                <c:pt idx="87">
                  <c:v>-447</c:v>
                </c:pt>
                <c:pt idx="88">
                  <c:v>-454</c:v>
                </c:pt>
                <c:pt idx="89">
                  <c:v>-461</c:v>
                </c:pt>
                <c:pt idx="90">
                  <c:v>-468</c:v>
                </c:pt>
                <c:pt idx="91">
                  <c:v>-475</c:v>
                </c:pt>
                <c:pt idx="92">
                  <c:v>-485</c:v>
                </c:pt>
                <c:pt idx="93">
                  <c:v>-495</c:v>
                </c:pt>
                <c:pt idx="94">
                  <c:v>-505</c:v>
                </c:pt>
                <c:pt idx="95">
                  <c:v>-515</c:v>
                </c:pt>
                <c:pt idx="96">
                  <c:v>-525</c:v>
                </c:pt>
                <c:pt idx="97">
                  <c:v>-535</c:v>
                </c:pt>
                <c:pt idx="98">
                  <c:v>-545</c:v>
                </c:pt>
                <c:pt idx="99">
                  <c:v>-555</c:v>
                </c:pt>
                <c:pt idx="100">
                  <c:v>-565</c:v>
                </c:pt>
                <c:pt idx="101">
                  <c:v>-575</c:v>
                </c:pt>
                <c:pt idx="102">
                  <c:v>-595</c:v>
                </c:pt>
                <c:pt idx="103">
                  <c:v>-615</c:v>
                </c:pt>
                <c:pt idx="104">
                  <c:v>-635</c:v>
                </c:pt>
                <c:pt idx="105">
                  <c:v>-655</c:v>
                </c:pt>
                <c:pt idx="106">
                  <c:v>-675</c:v>
                </c:pt>
                <c:pt idx="107">
                  <c:v>-695</c:v>
                </c:pt>
                <c:pt idx="108">
                  <c:v>-715</c:v>
                </c:pt>
                <c:pt idx="109">
                  <c:v>-735</c:v>
                </c:pt>
                <c:pt idx="110">
                  <c:v>-755</c:v>
                </c:pt>
                <c:pt idx="111">
                  <c:v>-775</c:v>
                </c:pt>
                <c:pt idx="112">
                  <c:v>-825</c:v>
                </c:pt>
                <c:pt idx="113">
                  <c:v>-875</c:v>
                </c:pt>
                <c:pt idx="114">
                  <c:v>-925</c:v>
                </c:pt>
                <c:pt idx="115">
                  <c:v>-975</c:v>
                </c:pt>
                <c:pt idx="116">
                  <c:v>-1025</c:v>
                </c:pt>
                <c:pt idx="117">
                  <c:v>-1075</c:v>
                </c:pt>
                <c:pt idx="118">
                  <c:v>-1175</c:v>
                </c:pt>
                <c:pt idx="119">
                  <c:v>-1275</c:v>
                </c:pt>
                <c:pt idx="120">
                  <c:v>-1375</c:v>
                </c:pt>
                <c:pt idx="121">
                  <c:v>-1475</c:v>
                </c:pt>
                <c:pt idx="122">
                  <c:v>-1575</c:v>
                </c:pt>
                <c:pt idx="123">
                  <c:v>-1675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CE9-4F27-9351-19DBE9590D16}"/>
            </c:ext>
          </c:extLst>
        </c:ser>
        <c:ser>
          <c:idx val="3"/>
          <c:order val="5"/>
          <c:tx>
            <c:strRef>
              <c:f>Dati!$H$1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xVal>
            <c:numRef>
              <c:f>Dati!$G$2:$G$350</c:f>
              <c:numCache>
                <c:formatCode>General</c:formatCode>
                <c:ptCount val="349"/>
                <c:pt idx="0">
                  <c:v>270</c:v>
                </c:pt>
                <c:pt idx="1">
                  <c:v>271</c:v>
                </c:pt>
                <c:pt idx="2">
                  <c:v>272</c:v>
                </c:pt>
                <c:pt idx="3">
                  <c:v>273</c:v>
                </c:pt>
                <c:pt idx="4">
                  <c:v>274</c:v>
                </c:pt>
                <c:pt idx="5">
                  <c:v>275</c:v>
                </c:pt>
                <c:pt idx="6">
                  <c:v>276</c:v>
                </c:pt>
                <c:pt idx="7">
                  <c:v>277</c:v>
                </c:pt>
                <c:pt idx="8">
                  <c:v>278</c:v>
                </c:pt>
                <c:pt idx="9">
                  <c:v>279</c:v>
                </c:pt>
                <c:pt idx="10">
                  <c:v>280</c:v>
                </c:pt>
                <c:pt idx="11">
                  <c:v>281</c:v>
                </c:pt>
                <c:pt idx="12">
                  <c:v>282</c:v>
                </c:pt>
                <c:pt idx="13">
                  <c:v>283</c:v>
                </c:pt>
                <c:pt idx="14">
                  <c:v>284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288</c:v>
                </c:pt>
                <c:pt idx="19">
                  <c:v>289</c:v>
                </c:pt>
                <c:pt idx="20">
                  <c:v>290</c:v>
                </c:pt>
                <c:pt idx="21">
                  <c:v>291</c:v>
                </c:pt>
                <c:pt idx="22">
                  <c:v>292</c:v>
                </c:pt>
                <c:pt idx="23">
                  <c:v>293</c:v>
                </c:pt>
                <c:pt idx="24">
                  <c:v>294</c:v>
                </c:pt>
                <c:pt idx="25">
                  <c:v>295</c:v>
                </c:pt>
                <c:pt idx="26">
                  <c:v>296</c:v>
                </c:pt>
                <c:pt idx="27">
                  <c:v>297</c:v>
                </c:pt>
                <c:pt idx="28">
                  <c:v>298</c:v>
                </c:pt>
                <c:pt idx="29">
                  <c:v>299</c:v>
                </c:pt>
                <c:pt idx="30">
                  <c:v>300</c:v>
                </c:pt>
                <c:pt idx="31">
                  <c:v>301</c:v>
                </c:pt>
                <c:pt idx="32">
                  <c:v>302</c:v>
                </c:pt>
                <c:pt idx="33">
                  <c:v>303</c:v>
                </c:pt>
                <c:pt idx="34">
                  <c:v>304</c:v>
                </c:pt>
                <c:pt idx="35">
                  <c:v>305</c:v>
                </c:pt>
                <c:pt idx="36">
                  <c:v>306</c:v>
                </c:pt>
                <c:pt idx="37">
                  <c:v>307</c:v>
                </c:pt>
                <c:pt idx="38">
                  <c:v>308</c:v>
                </c:pt>
                <c:pt idx="39">
                  <c:v>309</c:v>
                </c:pt>
                <c:pt idx="40">
                  <c:v>310</c:v>
                </c:pt>
                <c:pt idx="41">
                  <c:v>311</c:v>
                </c:pt>
                <c:pt idx="42">
                  <c:v>312</c:v>
                </c:pt>
                <c:pt idx="43">
                  <c:v>313</c:v>
                </c:pt>
                <c:pt idx="44">
                  <c:v>314</c:v>
                </c:pt>
                <c:pt idx="45">
                  <c:v>315</c:v>
                </c:pt>
                <c:pt idx="46">
                  <c:v>317</c:v>
                </c:pt>
                <c:pt idx="47">
                  <c:v>319</c:v>
                </c:pt>
                <c:pt idx="48">
                  <c:v>321</c:v>
                </c:pt>
                <c:pt idx="49">
                  <c:v>323</c:v>
                </c:pt>
                <c:pt idx="50">
                  <c:v>325</c:v>
                </c:pt>
                <c:pt idx="51">
                  <c:v>327</c:v>
                </c:pt>
                <c:pt idx="52">
                  <c:v>329</c:v>
                </c:pt>
                <c:pt idx="53">
                  <c:v>331</c:v>
                </c:pt>
                <c:pt idx="54">
                  <c:v>333</c:v>
                </c:pt>
                <c:pt idx="55">
                  <c:v>335</c:v>
                </c:pt>
                <c:pt idx="56">
                  <c:v>337</c:v>
                </c:pt>
                <c:pt idx="57">
                  <c:v>339</c:v>
                </c:pt>
                <c:pt idx="58">
                  <c:v>341</c:v>
                </c:pt>
                <c:pt idx="59">
                  <c:v>343</c:v>
                </c:pt>
                <c:pt idx="60">
                  <c:v>345</c:v>
                </c:pt>
                <c:pt idx="61">
                  <c:v>347</c:v>
                </c:pt>
                <c:pt idx="62">
                  <c:v>349</c:v>
                </c:pt>
                <c:pt idx="63">
                  <c:v>351</c:v>
                </c:pt>
                <c:pt idx="64">
                  <c:v>354</c:v>
                </c:pt>
                <c:pt idx="65">
                  <c:v>357</c:v>
                </c:pt>
                <c:pt idx="66">
                  <c:v>360</c:v>
                </c:pt>
                <c:pt idx="67">
                  <c:v>363</c:v>
                </c:pt>
                <c:pt idx="68">
                  <c:v>366</c:v>
                </c:pt>
                <c:pt idx="69">
                  <c:v>369</c:v>
                </c:pt>
                <c:pt idx="70">
                  <c:v>372</c:v>
                </c:pt>
                <c:pt idx="71">
                  <c:v>375</c:v>
                </c:pt>
                <c:pt idx="72">
                  <c:v>379</c:v>
                </c:pt>
                <c:pt idx="73">
                  <c:v>383</c:v>
                </c:pt>
                <c:pt idx="74">
                  <c:v>387</c:v>
                </c:pt>
                <c:pt idx="75">
                  <c:v>391</c:v>
                </c:pt>
                <c:pt idx="76">
                  <c:v>395</c:v>
                </c:pt>
                <c:pt idx="77">
                  <c:v>399</c:v>
                </c:pt>
                <c:pt idx="78">
                  <c:v>403</c:v>
                </c:pt>
                <c:pt idx="79">
                  <c:v>407</c:v>
                </c:pt>
                <c:pt idx="80">
                  <c:v>412</c:v>
                </c:pt>
                <c:pt idx="81">
                  <c:v>417</c:v>
                </c:pt>
                <c:pt idx="82">
                  <c:v>422</c:v>
                </c:pt>
                <c:pt idx="83">
                  <c:v>427</c:v>
                </c:pt>
                <c:pt idx="84">
                  <c:v>432</c:v>
                </c:pt>
                <c:pt idx="85">
                  <c:v>437</c:v>
                </c:pt>
                <c:pt idx="86">
                  <c:v>442</c:v>
                </c:pt>
                <c:pt idx="87">
                  <c:v>447</c:v>
                </c:pt>
                <c:pt idx="88">
                  <c:v>454</c:v>
                </c:pt>
                <c:pt idx="89">
                  <c:v>461</c:v>
                </c:pt>
                <c:pt idx="90">
                  <c:v>468</c:v>
                </c:pt>
                <c:pt idx="91">
                  <c:v>475</c:v>
                </c:pt>
                <c:pt idx="92">
                  <c:v>485</c:v>
                </c:pt>
                <c:pt idx="93">
                  <c:v>495</c:v>
                </c:pt>
                <c:pt idx="94">
                  <c:v>505</c:v>
                </c:pt>
                <c:pt idx="95">
                  <c:v>515</c:v>
                </c:pt>
                <c:pt idx="96">
                  <c:v>525</c:v>
                </c:pt>
                <c:pt idx="97">
                  <c:v>535</c:v>
                </c:pt>
                <c:pt idx="98">
                  <c:v>545</c:v>
                </c:pt>
                <c:pt idx="99">
                  <c:v>555</c:v>
                </c:pt>
                <c:pt idx="100">
                  <c:v>565</c:v>
                </c:pt>
                <c:pt idx="101">
                  <c:v>575</c:v>
                </c:pt>
                <c:pt idx="102">
                  <c:v>595</c:v>
                </c:pt>
                <c:pt idx="103">
                  <c:v>615</c:v>
                </c:pt>
                <c:pt idx="104">
                  <c:v>635</c:v>
                </c:pt>
                <c:pt idx="105">
                  <c:v>655</c:v>
                </c:pt>
                <c:pt idx="106">
                  <c:v>675</c:v>
                </c:pt>
                <c:pt idx="107">
                  <c:v>695</c:v>
                </c:pt>
                <c:pt idx="108">
                  <c:v>715</c:v>
                </c:pt>
                <c:pt idx="109">
                  <c:v>735</c:v>
                </c:pt>
                <c:pt idx="110">
                  <c:v>755</c:v>
                </c:pt>
                <c:pt idx="111">
                  <c:v>775</c:v>
                </c:pt>
                <c:pt idx="112">
                  <c:v>825</c:v>
                </c:pt>
                <c:pt idx="113">
                  <c:v>875</c:v>
                </c:pt>
                <c:pt idx="114">
                  <c:v>925</c:v>
                </c:pt>
                <c:pt idx="115">
                  <c:v>975</c:v>
                </c:pt>
                <c:pt idx="116">
                  <c:v>1025</c:v>
                </c:pt>
                <c:pt idx="117">
                  <c:v>1075</c:v>
                </c:pt>
                <c:pt idx="118">
                  <c:v>1175</c:v>
                </c:pt>
                <c:pt idx="119">
                  <c:v>1275</c:v>
                </c:pt>
                <c:pt idx="120">
                  <c:v>1375</c:v>
                </c:pt>
                <c:pt idx="121">
                  <c:v>1475</c:v>
                </c:pt>
                <c:pt idx="122">
                  <c:v>1575</c:v>
                </c:pt>
                <c:pt idx="123">
                  <c:v>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1675</c:v>
                </c:pt>
              </c:numCache>
            </c:numRef>
          </c:xVal>
          <c:yVal>
            <c:numRef>
              <c:f>Dati!$H$2:$H$350</c:f>
              <c:numCache>
                <c:formatCode>0.00</c:formatCode>
                <c:ptCount val="349"/>
                <c:pt idx="0">
                  <c:v>-270</c:v>
                </c:pt>
                <c:pt idx="1">
                  <c:v>-271</c:v>
                </c:pt>
                <c:pt idx="2">
                  <c:v>-272</c:v>
                </c:pt>
                <c:pt idx="3">
                  <c:v>-273</c:v>
                </c:pt>
                <c:pt idx="4">
                  <c:v>-274</c:v>
                </c:pt>
                <c:pt idx="5">
                  <c:v>-275</c:v>
                </c:pt>
                <c:pt idx="6">
                  <c:v>-276</c:v>
                </c:pt>
                <c:pt idx="7">
                  <c:v>-277</c:v>
                </c:pt>
                <c:pt idx="8">
                  <c:v>-278</c:v>
                </c:pt>
                <c:pt idx="9">
                  <c:v>-279</c:v>
                </c:pt>
                <c:pt idx="10">
                  <c:v>-280</c:v>
                </c:pt>
                <c:pt idx="11">
                  <c:v>-281</c:v>
                </c:pt>
                <c:pt idx="12">
                  <c:v>-282</c:v>
                </c:pt>
                <c:pt idx="13">
                  <c:v>-283</c:v>
                </c:pt>
                <c:pt idx="14">
                  <c:v>-284</c:v>
                </c:pt>
                <c:pt idx="15">
                  <c:v>-285</c:v>
                </c:pt>
                <c:pt idx="16">
                  <c:v>-286</c:v>
                </c:pt>
                <c:pt idx="17">
                  <c:v>-287</c:v>
                </c:pt>
                <c:pt idx="18">
                  <c:v>-288</c:v>
                </c:pt>
                <c:pt idx="19">
                  <c:v>-289</c:v>
                </c:pt>
                <c:pt idx="20">
                  <c:v>-290</c:v>
                </c:pt>
                <c:pt idx="21">
                  <c:v>-291</c:v>
                </c:pt>
                <c:pt idx="22">
                  <c:v>-292</c:v>
                </c:pt>
                <c:pt idx="23">
                  <c:v>-293</c:v>
                </c:pt>
                <c:pt idx="24">
                  <c:v>-294</c:v>
                </c:pt>
                <c:pt idx="25">
                  <c:v>-295</c:v>
                </c:pt>
                <c:pt idx="26">
                  <c:v>-296</c:v>
                </c:pt>
                <c:pt idx="27">
                  <c:v>-297</c:v>
                </c:pt>
                <c:pt idx="28">
                  <c:v>-298</c:v>
                </c:pt>
                <c:pt idx="29">
                  <c:v>-299</c:v>
                </c:pt>
                <c:pt idx="30">
                  <c:v>-300</c:v>
                </c:pt>
                <c:pt idx="31">
                  <c:v>-301</c:v>
                </c:pt>
                <c:pt idx="32">
                  <c:v>-302</c:v>
                </c:pt>
                <c:pt idx="33">
                  <c:v>-303</c:v>
                </c:pt>
                <c:pt idx="34">
                  <c:v>-304</c:v>
                </c:pt>
                <c:pt idx="35">
                  <c:v>-305</c:v>
                </c:pt>
                <c:pt idx="36">
                  <c:v>-306</c:v>
                </c:pt>
                <c:pt idx="37">
                  <c:v>-307</c:v>
                </c:pt>
                <c:pt idx="38">
                  <c:v>-308</c:v>
                </c:pt>
                <c:pt idx="39">
                  <c:v>-309</c:v>
                </c:pt>
                <c:pt idx="40">
                  <c:v>-310</c:v>
                </c:pt>
                <c:pt idx="41">
                  <c:v>-311</c:v>
                </c:pt>
                <c:pt idx="42">
                  <c:v>-312</c:v>
                </c:pt>
                <c:pt idx="43">
                  <c:v>-313</c:v>
                </c:pt>
                <c:pt idx="44">
                  <c:v>-314</c:v>
                </c:pt>
                <c:pt idx="45">
                  <c:v>-315</c:v>
                </c:pt>
                <c:pt idx="46">
                  <c:v>-317</c:v>
                </c:pt>
                <c:pt idx="47">
                  <c:v>-319</c:v>
                </c:pt>
                <c:pt idx="48">
                  <c:v>-321</c:v>
                </c:pt>
                <c:pt idx="49">
                  <c:v>-323</c:v>
                </c:pt>
                <c:pt idx="50">
                  <c:v>-325</c:v>
                </c:pt>
                <c:pt idx="51">
                  <c:v>-327</c:v>
                </c:pt>
                <c:pt idx="52">
                  <c:v>-329</c:v>
                </c:pt>
                <c:pt idx="53">
                  <c:v>-331</c:v>
                </c:pt>
                <c:pt idx="54">
                  <c:v>-333</c:v>
                </c:pt>
                <c:pt idx="55">
                  <c:v>-335</c:v>
                </c:pt>
                <c:pt idx="56">
                  <c:v>-337</c:v>
                </c:pt>
                <c:pt idx="57">
                  <c:v>-339</c:v>
                </c:pt>
                <c:pt idx="58">
                  <c:v>-341</c:v>
                </c:pt>
                <c:pt idx="59">
                  <c:v>-343</c:v>
                </c:pt>
                <c:pt idx="60">
                  <c:v>-345</c:v>
                </c:pt>
                <c:pt idx="61">
                  <c:v>-347</c:v>
                </c:pt>
                <c:pt idx="62">
                  <c:v>-349</c:v>
                </c:pt>
                <c:pt idx="63">
                  <c:v>-351</c:v>
                </c:pt>
                <c:pt idx="64">
                  <c:v>-354</c:v>
                </c:pt>
                <c:pt idx="65">
                  <c:v>-357</c:v>
                </c:pt>
                <c:pt idx="66">
                  <c:v>-360</c:v>
                </c:pt>
                <c:pt idx="67">
                  <c:v>-363</c:v>
                </c:pt>
                <c:pt idx="68">
                  <c:v>-366</c:v>
                </c:pt>
                <c:pt idx="69">
                  <c:v>-369</c:v>
                </c:pt>
                <c:pt idx="70">
                  <c:v>-372</c:v>
                </c:pt>
                <c:pt idx="71">
                  <c:v>-375</c:v>
                </c:pt>
                <c:pt idx="72">
                  <c:v>-379</c:v>
                </c:pt>
                <c:pt idx="73">
                  <c:v>-383</c:v>
                </c:pt>
                <c:pt idx="74">
                  <c:v>-387</c:v>
                </c:pt>
                <c:pt idx="75">
                  <c:v>-391</c:v>
                </c:pt>
                <c:pt idx="76">
                  <c:v>-395</c:v>
                </c:pt>
                <c:pt idx="77">
                  <c:v>-399</c:v>
                </c:pt>
                <c:pt idx="78">
                  <c:v>-403</c:v>
                </c:pt>
                <c:pt idx="79">
                  <c:v>-407</c:v>
                </c:pt>
                <c:pt idx="80">
                  <c:v>-412</c:v>
                </c:pt>
                <c:pt idx="81">
                  <c:v>-417</c:v>
                </c:pt>
                <c:pt idx="82">
                  <c:v>-422</c:v>
                </c:pt>
                <c:pt idx="83">
                  <c:v>-427</c:v>
                </c:pt>
                <c:pt idx="84">
                  <c:v>-432</c:v>
                </c:pt>
                <c:pt idx="85">
                  <c:v>-437</c:v>
                </c:pt>
                <c:pt idx="86">
                  <c:v>-442</c:v>
                </c:pt>
                <c:pt idx="87">
                  <c:v>-447</c:v>
                </c:pt>
                <c:pt idx="88">
                  <c:v>-454</c:v>
                </c:pt>
                <c:pt idx="89">
                  <c:v>-461</c:v>
                </c:pt>
                <c:pt idx="90">
                  <c:v>-468</c:v>
                </c:pt>
                <c:pt idx="91">
                  <c:v>-475</c:v>
                </c:pt>
                <c:pt idx="92">
                  <c:v>-485</c:v>
                </c:pt>
                <c:pt idx="93">
                  <c:v>-495</c:v>
                </c:pt>
                <c:pt idx="94">
                  <c:v>-505</c:v>
                </c:pt>
                <c:pt idx="95">
                  <c:v>-515</c:v>
                </c:pt>
                <c:pt idx="96">
                  <c:v>-525</c:v>
                </c:pt>
                <c:pt idx="97">
                  <c:v>-535</c:v>
                </c:pt>
                <c:pt idx="98">
                  <c:v>-545</c:v>
                </c:pt>
                <c:pt idx="99">
                  <c:v>-555</c:v>
                </c:pt>
                <c:pt idx="100">
                  <c:v>-565</c:v>
                </c:pt>
                <c:pt idx="101">
                  <c:v>-575</c:v>
                </c:pt>
                <c:pt idx="102">
                  <c:v>-595</c:v>
                </c:pt>
                <c:pt idx="103">
                  <c:v>-615</c:v>
                </c:pt>
                <c:pt idx="104">
                  <c:v>-635</c:v>
                </c:pt>
                <c:pt idx="105">
                  <c:v>-655</c:v>
                </c:pt>
                <c:pt idx="106">
                  <c:v>-675</c:v>
                </c:pt>
                <c:pt idx="107">
                  <c:v>-695</c:v>
                </c:pt>
                <c:pt idx="108">
                  <c:v>-715</c:v>
                </c:pt>
                <c:pt idx="109">
                  <c:v>-735</c:v>
                </c:pt>
                <c:pt idx="110">
                  <c:v>-755</c:v>
                </c:pt>
                <c:pt idx="111">
                  <c:v>-775</c:v>
                </c:pt>
                <c:pt idx="112">
                  <c:v>-825</c:v>
                </c:pt>
                <c:pt idx="113">
                  <c:v>-875</c:v>
                </c:pt>
                <c:pt idx="114">
                  <c:v>-925</c:v>
                </c:pt>
                <c:pt idx="115">
                  <c:v>-975</c:v>
                </c:pt>
                <c:pt idx="116">
                  <c:v>-1025</c:v>
                </c:pt>
                <c:pt idx="117">
                  <c:v>-1075</c:v>
                </c:pt>
                <c:pt idx="118">
                  <c:v>-1175</c:v>
                </c:pt>
                <c:pt idx="119">
                  <c:v>-1275</c:v>
                </c:pt>
                <c:pt idx="120">
                  <c:v>-1375</c:v>
                </c:pt>
                <c:pt idx="121">
                  <c:v>-1475</c:v>
                </c:pt>
                <c:pt idx="122">
                  <c:v>-1575</c:v>
                </c:pt>
                <c:pt idx="123">
                  <c:v>-1675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CE9-4F27-9351-19DBE9590D16}"/>
            </c:ext>
          </c:extLst>
        </c:ser>
        <c:ser>
          <c:idx val="1"/>
          <c:order val="6"/>
          <c:tx>
            <c:strRef>
              <c:f>Dati!$H$1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xVal>
            <c:numRef>
              <c:f>Dati!$G$2:$G$350</c:f>
              <c:numCache>
                <c:formatCode>General</c:formatCode>
                <c:ptCount val="349"/>
                <c:pt idx="0">
                  <c:v>270</c:v>
                </c:pt>
                <c:pt idx="1">
                  <c:v>271</c:v>
                </c:pt>
                <c:pt idx="2">
                  <c:v>272</c:v>
                </c:pt>
                <c:pt idx="3">
                  <c:v>273</c:v>
                </c:pt>
                <c:pt idx="4">
                  <c:v>274</c:v>
                </c:pt>
                <c:pt idx="5">
                  <c:v>275</c:v>
                </c:pt>
                <c:pt idx="6">
                  <c:v>276</c:v>
                </c:pt>
                <c:pt idx="7">
                  <c:v>277</c:v>
                </c:pt>
                <c:pt idx="8">
                  <c:v>278</c:v>
                </c:pt>
                <c:pt idx="9">
                  <c:v>279</c:v>
                </c:pt>
                <c:pt idx="10">
                  <c:v>280</c:v>
                </c:pt>
                <c:pt idx="11">
                  <c:v>281</c:v>
                </c:pt>
                <c:pt idx="12">
                  <c:v>282</c:v>
                </c:pt>
                <c:pt idx="13">
                  <c:v>283</c:v>
                </c:pt>
                <c:pt idx="14">
                  <c:v>284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288</c:v>
                </c:pt>
                <c:pt idx="19">
                  <c:v>289</c:v>
                </c:pt>
                <c:pt idx="20">
                  <c:v>290</c:v>
                </c:pt>
                <c:pt idx="21">
                  <c:v>291</c:v>
                </c:pt>
                <c:pt idx="22">
                  <c:v>292</c:v>
                </c:pt>
                <c:pt idx="23">
                  <c:v>293</c:v>
                </c:pt>
                <c:pt idx="24">
                  <c:v>294</c:v>
                </c:pt>
                <c:pt idx="25">
                  <c:v>295</c:v>
                </c:pt>
                <c:pt idx="26">
                  <c:v>296</c:v>
                </c:pt>
                <c:pt idx="27">
                  <c:v>297</c:v>
                </c:pt>
                <c:pt idx="28">
                  <c:v>298</c:v>
                </c:pt>
                <c:pt idx="29">
                  <c:v>299</c:v>
                </c:pt>
                <c:pt idx="30">
                  <c:v>300</c:v>
                </c:pt>
                <c:pt idx="31">
                  <c:v>301</c:v>
                </c:pt>
                <c:pt idx="32">
                  <c:v>302</c:v>
                </c:pt>
                <c:pt idx="33">
                  <c:v>303</c:v>
                </c:pt>
                <c:pt idx="34">
                  <c:v>304</c:v>
                </c:pt>
                <c:pt idx="35">
                  <c:v>305</c:v>
                </c:pt>
                <c:pt idx="36">
                  <c:v>306</c:v>
                </c:pt>
                <c:pt idx="37">
                  <c:v>307</c:v>
                </c:pt>
                <c:pt idx="38">
                  <c:v>308</c:v>
                </c:pt>
                <c:pt idx="39">
                  <c:v>309</c:v>
                </c:pt>
                <c:pt idx="40">
                  <c:v>310</c:v>
                </c:pt>
                <c:pt idx="41">
                  <c:v>311</c:v>
                </c:pt>
                <c:pt idx="42">
                  <c:v>312</c:v>
                </c:pt>
                <c:pt idx="43">
                  <c:v>313</c:v>
                </c:pt>
                <c:pt idx="44">
                  <c:v>314</c:v>
                </c:pt>
                <c:pt idx="45">
                  <c:v>315</c:v>
                </c:pt>
                <c:pt idx="46">
                  <c:v>317</c:v>
                </c:pt>
                <c:pt idx="47">
                  <c:v>319</c:v>
                </c:pt>
                <c:pt idx="48">
                  <c:v>321</c:v>
                </c:pt>
                <c:pt idx="49">
                  <c:v>323</c:v>
                </c:pt>
                <c:pt idx="50">
                  <c:v>325</c:v>
                </c:pt>
                <c:pt idx="51">
                  <c:v>327</c:v>
                </c:pt>
                <c:pt idx="52">
                  <c:v>329</c:v>
                </c:pt>
                <c:pt idx="53">
                  <c:v>331</c:v>
                </c:pt>
                <c:pt idx="54">
                  <c:v>333</c:v>
                </c:pt>
                <c:pt idx="55">
                  <c:v>335</c:v>
                </c:pt>
                <c:pt idx="56">
                  <c:v>337</c:v>
                </c:pt>
                <c:pt idx="57">
                  <c:v>339</c:v>
                </c:pt>
                <c:pt idx="58">
                  <c:v>341</c:v>
                </c:pt>
                <c:pt idx="59">
                  <c:v>343</c:v>
                </c:pt>
                <c:pt idx="60">
                  <c:v>345</c:v>
                </c:pt>
                <c:pt idx="61">
                  <c:v>347</c:v>
                </c:pt>
                <c:pt idx="62">
                  <c:v>349</c:v>
                </c:pt>
                <c:pt idx="63">
                  <c:v>351</c:v>
                </c:pt>
                <c:pt idx="64">
                  <c:v>354</c:v>
                </c:pt>
                <c:pt idx="65">
                  <c:v>357</c:v>
                </c:pt>
                <c:pt idx="66">
                  <c:v>360</c:v>
                </c:pt>
                <c:pt idx="67">
                  <c:v>363</c:v>
                </c:pt>
                <c:pt idx="68">
                  <c:v>366</c:v>
                </c:pt>
                <c:pt idx="69">
                  <c:v>369</c:v>
                </c:pt>
                <c:pt idx="70">
                  <c:v>372</c:v>
                </c:pt>
                <c:pt idx="71">
                  <c:v>375</c:v>
                </c:pt>
                <c:pt idx="72">
                  <c:v>379</c:v>
                </c:pt>
                <c:pt idx="73">
                  <c:v>383</c:v>
                </c:pt>
                <c:pt idx="74">
                  <c:v>387</c:v>
                </c:pt>
                <c:pt idx="75">
                  <c:v>391</c:v>
                </c:pt>
                <c:pt idx="76">
                  <c:v>395</c:v>
                </c:pt>
                <c:pt idx="77">
                  <c:v>399</c:v>
                </c:pt>
                <c:pt idx="78">
                  <c:v>403</c:v>
                </c:pt>
                <c:pt idx="79">
                  <c:v>407</c:v>
                </c:pt>
                <c:pt idx="80">
                  <c:v>412</c:v>
                </c:pt>
                <c:pt idx="81">
                  <c:v>417</c:v>
                </c:pt>
                <c:pt idx="82">
                  <c:v>422</c:v>
                </c:pt>
                <c:pt idx="83">
                  <c:v>427</c:v>
                </c:pt>
                <c:pt idx="84">
                  <c:v>432</c:v>
                </c:pt>
                <c:pt idx="85">
                  <c:v>437</c:v>
                </c:pt>
                <c:pt idx="86">
                  <c:v>442</c:v>
                </c:pt>
                <c:pt idx="87">
                  <c:v>447</c:v>
                </c:pt>
                <c:pt idx="88">
                  <c:v>454</c:v>
                </c:pt>
                <c:pt idx="89">
                  <c:v>461</c:v>
                </c:pt>
                <c:pt idx="90">
                  <c:v>468</c:v>
                </c:pt>
                <c:pt idx="91">
                  <c:v>475</c:v>
                </c:pt>
                <c:pt idx="92">
                  <c:v>485</c:v>
                </c:pt>
                <c:pt idx="93">
                  <c:v>495</c:v>
                </c:pt>
                <c:pt idx="94">
                  <c:v>505</c:v>
                </c:pt>
                <c:pt idx="95">
                  <c:v>515</c:v>
                </c:pt>
                <c:pt idx="96">
                  <c:v>525</c:v>
                </c:pt>
                <c:pt idx="97">
                  <c:v>535</c:v>
                </c:pt>
                <c:pt idx="98">
                  <c:v>545</c:v>
                </c:pt>
                <c:pt idx="99">
                  <c:v>555</c:v>
                </c:pt>
                <c:pt idx="100">
                  <c:v>565</c:v>
                </c:pt>
                <c:pt idx="101">
                  <c:v>575</c:v>
                </c:pt>
                <c:pt idx="102">
                  <c:v>595</c:v>
                </c:pt>
                <c:pt idx="103">
                  <c:v>615</c:v>
                </c:pt>
                <c:pt idx="104">
                  <c:v>635</c:v>
                </c:pt>
                <c:pt idx="105">
                  <c:v>655</c:v>
                </c:pt>
                <c:pt idx="106">
                  <c:v>675</c:v>
                </c:pt>
                <c:pt idx="107">
                  <c:v>695</c:v>
                </c:pt>
                <c:pt idx="108">
                  <c:v>715</c:v>
                </c:pt>
                <c:pt idx="109">
                  <c:v>735</c:v>
                </c:pt>
                <c:pt idx="110">
                  <c:v>755</c:v>
                </c:pt>
                <c:pt idx="111">
                  <c:v>775</c:v>
                </c:pt>
                <c:pt idx="112">
                  <c:v>825</c:v>
                </c:pt>
                <c:pt idx="113">
                  <c:v>875</c:v>
                </c:pt>
                <c:pt idx="114">
                  <c:v>925</c:v>
                </c:pt>
                <c:pt idx="115">
                  <c:v>975</c:v>
                </c:pt>
                <c:pt idx="116">
                  <c:v>1025</c:v>
                </c:pt>
                <c:pt idx="117">
                  <c:v>1075</c:v>
                </c:pt>
                <c:pt idx="118">
                  <c:v>1175</c:v>
                </c:pt>
                <c:pt idx="119">
                  <c:v>1275</c:v>
                </c:pt>
                <c:pt idx="120">
                  <c:v>1375</c:v>
                </c:pt>
                <c:pt idx="121">
                  <c:v>1475</c:v>
                </c:pt>
                <c:pt idx="122">
                  <c:v>1575</c:v>
                </c:pt>
                <c:pt idx="123">
                  <c:v>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1675</c:v>
                </c:pt>
              </c:numCache>
            </c:numRef>
          </c:xVal>
          <c:yVal>
            <c:numRef>
              <c:f>Dati!$H$2:$H$350</c:f>
              <c:numCache>
                <c:formatCode>0.00</c:formatCode>
                <c:ptCount val="349"/>
                <c:pt idx="0">
                  <c:v>-270</c:v>
                </c:pt>
                <c:pt idx="1">
                  <c:v>-271</c:v>
                </c:pt>
                <c:pt idx="2">
                  <c:v>-272</c:v>
                </c:pt>
                <c:pt idx="3">
                  <c:v>-273</c:v>
                </c:pt>
                <c:pt idx="4">
                  <c:v>-274</c:v>
                </c:pt>
                <c:pt idx="5">
                  <c:v>-275</c:v>
                </c:pt>
                <c:pt idx="6">
                  <c:v>-276</c:v>
                </c:pt>
                <c:pt idx="7">
                  <c:v>-277</c:v>
                </c:pt>
                <c:pt idx="8">
                  <c:v>-278</c:v>
                </c:pt>
                <c:pt idx="9">
                  <c:v>-279</c:v>
                </c:pt>
                <c:pt idx="10">
                  <c:v>-280</c:v>
                </c:pt>
                <c:pt idx="11">
                  <c:v>-281</c:v>
                </c:pt>
                <c:pt idx="12">
                  <c:v>-282</c:v>
                </c:pt>
                <c:pt idx="13">
                  <c:v>-283</c:v>
                </c:pt>
                <c:pt idx="14">
                  <c:v>-284</c:v>
                </c:pt>
                <c:pt idx="15">
                  <c:v>-285</c:v>
                </c:pt>
                <c:pt idx="16">
                  <c:v>-286</c:v>
                </c:pt>
                <c:pt idx="17">
                  <c:v>-287</c:v>
                </c:pt>
                <c:pt idx="18">
                  <c:v>-288</c:v>
                </c:pt>
                <c:pt idx="19">
                  <c:v>-289</c:v>
                </c:pt>
                <c:pt idx="20">
                  <c:v>-290</c:v>
                </c:pt>
                <c:pt idx="21">
                  <c:v>-291</c:v>
                </c:pt>
                <c:pt idx="22">
                  <c:v>-292</c:v>
                </c:pt>
                <c:pt idx="23">
                  <c:v>-293</c:v>
                </c:pt>
                <c:pt idx="24">
                  <c:v>-294</c:v>
                </c:pt>
                <c:pt idx="25">
                  <c:v>-295</c:v>
                </c:pt>
                <c:pt idx="26">
                  <c:v>-296</c:v>
                </c:pt>
                <c:pt idx="27">
                  <c:v>-297</c:v>
                </c:pt>
                <c:pt idx="28">
                  <c:v>-298</c:v>
                </c:pt>
                <c:pt idx="29">
                  <c:v>-299</c:v>
                </c:pt>
                <c:pt idx="30">
                  <c:v>-300</c:v>
                </c:pt>
                <c:pt idx="31">
                  <c:v>-301</c:v>
                </c:pt>
                <c:pt idx="32">
                  <c:v>-302</c:v>
                </c:pt>
                <c:pt idx="33">
                  <c:v>-303</c:v>
                </c:pt>
                <c:pt idx="34">
                  <c:v>-304</c:v>
                </c:pt>
                <c:pt idx="35">
                  <c:v>-305</c:v>
                </c:pt>
                <c:pt idx="36">
                  <c:v>-306</c:v>
                </c:pt>
                <c:pt idx="37">
                  <c:v>-307</c:v>
                </c:pt>
                <c:pt idx="38">
                  <c:v>-308</c:v>
                </c:pt>
                <c:pt idx="39">
                  <c:v>-309</c:v>
                </c:pt>
                <c:pt idx="40">
                  <c:v>-310</c:v>
                </c:pt>
                <c:pt idx="41">
                  <c:v>-311</c:v>
                </c:pt>
                <c:pt idx="42">
                  <c:v>-312</c:v>
                </c:pt>
                <c:pt idx="43">
                  <c:v>-313</c:v>
                </c:pt>
                <c:pt idx="44">
                  <c:v>-314</c:v>
                </c:pt>
                <c:pt idx="45">
                  <c:v>-315</c:v>
                </c:pt>
                <c:pt idx="46">
                  <c:v>-317</c:v>
                </c:pt>
                <c:pt idx="47">
                  <c:v>-319</c:v>
                </c:pt>
                <c:pt idx="48">
                  <c:v>-321</c:v>
                </c:pt>
                <c:pt idx="49">
                  <c:v>-323</c:v>
                </c:pt>
                <c:pt idx="50">
                  <c:v>-325</c:v>
                </c:pt>
                <c:pt idx="51">
                  <c:v>-327</c:v>
                </c:pt>
                <c:pt idx="52">
                  <c:v>-329</c:v>
                </c:pt>
                <c:pt idx="53">
                  <c:v>-331</c:v>
                </c:pt>
                <c:pt idx="54">
                  <c:v>-333</c:v>
                </c:pt>
                <c:pt idx="55">
                  <c:v>-335</c:v>
                </c:pt>
                <c:pt idx="56">
                  <c:v>-337</c:v>
                </c:pt>
                <c:pt idx="57">
                  <c:v>-339</c:v>
                </c:pt>
                <c:pt idx="58">
                  <c:v>-341</c:v>
                </c:pt>
                <c:pt idx="59">
                  <c:v>-343</c:v>
                </c:pt>
                <c:pt idx="60">
                  <c:v>-345</c:v>
                </c:pt>
                <c:pt idx="61">
                  <c:v>-347</c:v>
                </c:pt>
                <c:pt idx="62">
                  <c:v>-349</c:v>
                </c:pt>
                <c:pt idx="63">
                  <c:v>-351</c:v>
                </c:pt>
                <c:pt idx="64">
                  <c:v>-354</c:v>
                </c:pt>
                <c:pt idx="65">
                  <c:v>-357</c:v>
                </c:pt>
                <c:pt idx="66">
                  <c:v>-360</c:v>
                </c:pt>
                <c:pt idx="67">
                  <c:v>-363</c:v>
                </c:pt>
                <c:pt idx="68">
                  <c:v>-366</c:v>
                </c:pt>
                <c:pt idx="69">
                  <c:v>-369</c:v>
                </c:pt>
                <c:pt idx="70">
                  <c:v>-372</c:v>
                </c:pt>
                <c:pt idx="71">
                  <c:v>-375</c:v>
                </c:pt>
                <c:pt idx="72">
                  <c:v>-379</c:v>
                </c:pt>
                <c:pt idx="73">
                  <c:v>-383</c:v>
                </c:pt>
                <c:pt idx="74">
                  <c:v>-387</c:v>
                </c:pt>
                <c:pt idx="75">
                  <c:v>-391</c:v>
                </c:pt>
                <c:pt idx="76">
                  <c:v>-395</c:v>
                </c:pt>
                <c:pt idx="77">
                  <c:v>-399</c:v>
                </c:pt>
                <c:pt idx="78">
                  <c:v>-403</c:v>
                </c:pt>
                <c:pt idx="79">
                  <c:v>-407</c:v>
                </c:pt>
                <c:pt idx="80">
                  <c:v>-412</c:v>
                </c:pt>
                <c:pt idx="81">
                  <c:v>-417</c:v>
                </c:pt>
                <c:pt idx="82">
                  <c:v>-422</c:v>
                </c:pt>
                <c:pt idx="83">
                  <c:v>-427</c:v>
                </c:pt>
                <c:pt idx="84">
                  <c:v>-432</c:v>
                </c:pt>
                <c:pt idx="85">
                  <c:v>-437</c:v>
                </c:pt>
                <c:pt idx="86">
                  <c:v>-442</c:v>
                </c:pt>
                <c:pt idx="87">
                  <c:v>-447</c:v>
                </c:pt>
                <c:pt idx="88">
                  <c:v>-454</c:v>
                </c:pt>
                <c:pt idx="89">
                  <c:v>-461</c:v>
                </c:pt>
                <c:pt idx="90">
                  <c:v>-468</c:v>
                </c:pt>
                <c:pt idx="91">
                  <c:v>-475</c:v>
                </c:pt>
                <c:pt idx="92">
                  <c:v>-485</c:v>
                </c:pt>
                <c:pt idx="93">
                  <c:v>-495</c:v>
                </c:pt>
                <c:pt idx="94">
                  <c:v>-505</c:v>
                </c:pt>
                <c:pt idx="95">
                  <c:v>-515</c:v>
                </c:pt>
                <c:pt idx="96">
                  <c:v>-525</c:v>
                </c:pt>
                <c:pt idx="97">
                  <c:v>-535</c:v>
                </c:pt>
                <c:pt idx="98">
                  <c:v>-545</c:v>
                </c:pt>
                <c:pt idx="99">
                  <c:v>-555</c:v>
                </c:pt>
                <c:pt idx="100">
                  <c:v>-565</c:v>
                </c:pt>
                <c:pt idx="101">
                  <c:v>-575</c:v>
                </c:pt>
                <c:pt idx="102">
                  <c:v>-595</c:v>
                </c:pt>
                <c:pt idx="103">
                  <c:v>-615</c:v>
                </c:pt>
                <c:pt idx="104">
                  <c:v>-635</c:v>
                </c:pt>
                <c:pt idx="105">
                  <c:v>-655</c:v>
                </c:pt>
                <c:pt idx="106">
                  <c:v>-675</c:v>
                </c:pt>
                <c:pt idx="107">
                  <c:v>-695</c:v>
                </c:pt>
                <c:pt idx="108">
                  <c:v>-715</c:v>
                </c:pt>
                <c:pt idx="109">
                  <c:v>-735</c:v>
                </c:pt>
                <c:pt idx="110">
                  <c:v>-755</c:v>
                </c:pt>
                <c:pt idx="111">
                  <c:v>-775</c:v>
                </c:pt>
                <c:pt idx="112">
                  <c:v>-825</c:v>
                </c:pt>
                <c:pt idx="113">
                  <c:v>-875</c:v>
                </c:pt>
                <c:pt idx="114">
                  <c:v>-925</c:v>
                </c:pt>
                <c:pt idx="115">
                  <c:v>-975</c:v>
                </c:pt>
                <c:pt idx="116">
                  <c:v>-1025</c:v>
                </c:pt>
                <c:pt idx="117">
                  <c:v>-1075</c:v>
                </c:pt>
                <c:pt idx="118">
                  <c:v>-1175</c:v>
                </c:pt>
                <c:pt idx="119">
                  <c:v>-1275</c:v>
                </c:pt>
                <c:pt idx="120">
                  <c:v>-1375</c:v>
                </c:pt>
                <c:pt idx="121">
                  <c:v>-1475</c:v>
                </c:pt>
                <c:pt idx="122">
                  <c:v>-1575</c:v>
                </c:pt>
                <c:pt idx="123">
                  <c:v>-1675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CE9-4F27-9351-19DBE9590D16}"/>
            </c:ext>
          </c:extLst>
        </c:ser>
        <c:ser>
          <c:idx val="0"/>
          <c:order val="7"/>
          <c:tx>
            <c:strRef>
              <c:f>Dati!$H$1</c:f>
              <c:strCache>
                <c:ptCount val="1"/>
                <c:pt idx="0">
                  <c:v>q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Dati!$G$2:$G$350</c:f>
              <c:numCache>
                <c:formatCode>General</c:formatCode>
                <c:ptCount val="349"/>
                <c:pt idx="0">
                  <c:v>270</c:v>
                </c:pt>
                <c:pt idx="1">
                  <c:v>271</c:v>
                </c:pt>
                <c:pt idx="2">
                  <c:v>272</c:v>
                </c:pt>
                <c:pt idx="3">
                  <c:v>273</c:v>
                </c:pt>
                <c:pt idx="4">
                  <c:v>274</c:v>
                </c:pt>
                <c:pt idx="5">
                  <c:v>275</c:v>
                </c:pt>
                <c:pt idx="6">
                  <c:v>276</c:v>
                </c:pt>
                <c:pt idx="7">
                  <c:v>277</c:v>
                </c:pt>
                <c:pt idx="8">
                  <c:v>278</c:v>
                </c:pt>
                <c:pt idx="9">
                  <c:v>279</c:v>
                </c:pt>
                <c:pt idx="10">
                  <c:v>280</c:v>
                </c:pt>
                <c:pt idx="11">
                  <c:v>281</c:v>
                </c:pt>
                <c:pt idx="12">
                  <c:v>282</c:v>
                </c:pt>
                <c:pt idx="13">
                  <c:v>283</c:v>
                </c:pt>
                <c:pt idx="14">
                  <c:v>284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288</c:v>
                </c:pt>
                <c:pt idx="19">
                  <c:v>289</c:v>
                </c:pt>
                <c:pt idx="20">
                  <c:v>290</c:v>
                </c:pt>
                <c:pt idx="21">
                  <c:v>291</c:v>
                </c:pt>
                <c:pt idx="22">
                  <c:v>292</c:v>
                </c:pt>
                <c:pt idx="23">
                  <c:v>293</c:v>
                </c:pt>
                <c:pt idx="24">
                  <c:v>294</c:v>
                </c:pt>
                <c:pt idx="25">
                  <c:v>295</c:v>
                </c:pt>
                <c:pt idx="26">
                  <c:v>296</c:v>
                </c:pt>
                <c:pt idx="27">
                  <c:v>297</c:v>
                </c:pt>
                <c:pt idx="28">
                  <c:v>298</c:v>
                </c:pt>
                <c:pt idx="29">
                  <c:v>299</c:v>
                </c:pt>
                <c:pt idx="30">
                  <c:v>300</c:v>
                </c:pt>
                <c:pt idx="31">
                  <c:v>301</c:v>
                </c:pt>
                <c:pt idx="32">
                  <c:v>302</c:v>
                </c:pt>
                <c:pt idx="33">
                  <c:v>303</c:v>
                </c:pt>
                <c:pt idx="34">
                  <c:v>304</c:v>
                </c:pt>
                <c:pt idx="35">
                  <c:v>305</c:v>
                </c:pt>
                <c:pt idx="36">
                  <c:v>306</c:v>
                </c:pt>
                <c:pt idx="37">
                  <c:v>307</c:v>
                </c:pt>
                <c:pt idx="38">
                  <c:v>308</c:v>
                </c:pt>
                <c:pt idx="39">
                  <c:v>309</c:v>
                </c:pt>
                <c:pt idx="40">
                  <c:v>310</c:v>
                </c:pt>
                <c:pt idx="41">
                  <c:v>311</c:v>
                </c:pt>
                <c:pt idx="42">
                  <c:v>312</c:v>
                </c:pt>
                <c:pt idx="43">
                  <c:v>313</c:v>
                </c:pt>
                <c:pt idx="44">
                  <c:v>314</c:v>
                </c:pt>
                <c:pt idx="45">
                  <c:v>315</c:v>
                </c:pt>
                <c:pt idx="46">
                  <c:v>317</c:v>
                </c:pt>
                <c:pt idx="47">
                  <c:v>319</c:v>
                </c:pt>
                <c:pt idx="48">
                  <c:v>321</c:v>
                </c:pt>
                <c:pt idx="49">
                  <c:v>323</c:v>
                </c:pt>
                <c:pt idx="50">
                  <c:v>325</c:v>
                </c:pt>
                <c:pt idx="51">
                  <c:v>327</c:v>
                </c:pt>
                <c:pt idx="52">
                  <c:v>329</c:v>
                </c:pt>
                <c:pt idx="53">
                  <c:v>331</c:v>
                </c:pt>
                <c:pt idx="54">
                  <c:v>333</c:v>
                </c:pt>
                <c:pt idx="55">
                  <c:v>335</c:v>
                </c:pt>
                <c:pt idx="56">
                  <c:v>337</c:v>
                </c:pt>
                <c:pt idx="57">
                  <c:v>339</c:v>
                </c:pt>
                <c:pt idx="58">
                  <c:v>341</c:v>
                </c:pt>
                <c:pt idx="59">
                  <c:v>343</c:v>
                </c:pt>
                <c:pt idx="60">
                  <c:v>345</c:v>
                </c:pt>
                <c:pt idx="61">
                  <c:v>347</c:v>
                </c:pt>
                <c:pt idx="62">
                  <c:v>349</c:v>
                </c:pt>
                <c:pt idx="63">
                  <c:v>351</c:v>
                </c:pt>
                <c:pt idx="64">
                  <c:v>354</c:v>
                </c:pt>
                <c:pt idx="65">
                  <c:v>357</c:v>
                </c:pt>
                <c:pt idx="66">
                  <c:v>360</c:v>
                </c:pt>
                <c:pt idx="67">
                  <c:v>363</c:v>
                </c:pt>
                <c:pt idx="68">
                  <c:v>366</c:v>
                </c:pt>
                <c:pt idx="69">
                  <c:v>369</c:v>
                </c:pt>
                <c:pt idx="70">
                  <c:v>372</c:v>
                </c:pt>
                <c:pt idx="71">
                  <c:v>375</c:v>
                </c:pt>
                <c:pt idx="72">
                  <c:v>379</c:v>
                </c:pt>
                <c:pt idx="73">
                  <c:v>383</c:v>
                </c:pt>
                <c:pt idx="74">
                  <c:v>387</c:v>
                </c:pt>
                <c:pt idx="75">
                  <c:v>391</c:v>
                </c:pt>
                <c:pt idx="76">
                  <c:v>395</c:v>
                </c:pt>
                <c:pt idx="77">
                  <c:v>399</c:v>
                </c:pt>
                <c:pt idx="78">
                  <c:v>403</c:v>
                </c:pt>
                <c:pt idx="79">
                  <c:v>407</c:v>
                </c:pt>
                <c:pt idx="80">
                  <c:v>412</c:v>
                </c:pt>
                <c:pt idx="81">
                  <c:v>417</c:v>
                </c:pt>
                <c:pt idx="82">
                  <c:v>422</c:v>
                </c:pt>
                <c:pt idx="83">
                  <c:v>427</c:v>
                </c:pt>
                <c:pt idx="84">
                  <c:v>432</c:v>
                </c:pt>
                <c:pt idx="85">
                  <c:v>437</c:v>
                </c:pt>
                <c:pt idx="86">
                  <c:v>442</c:v>
                </c:pt>
                <c:pt idx="87">
                  <c:v>447</c:v>
                </c:pt>
                <c:pt idx="88">
                  <c:v>454</c:v>
                </c:pt>
                <c:pt idx="89">
                  <c:v>461</c:v>
                </c:pt>
                <c:pt idx="90">
                  <c:v>468</c:v>
                </c:pt>
                <c:pt idx="91">
                  <c:v>475</c:v>
                </c:pt>
                <c:pt idx="92">
                  <c:v>485</c:v>
                </c:pt>
                <c:pt idx="93">
                  <c:v>495</c:v>
                </c:pt>
                <c:pt idx="94">
                  <c:v>505</c:v>
                </c:pt>
                <c:pt idx="95">
                  <c:v>515</c:v>
                </c:pt>
                <c:pt idx="96">
                  <c:v>525</c:v>
                </c:pt>
                <c:pt idx="97">
                  <c:v>535</c:v>
                </c:pt>
                <c:pt idx="98">
                  <c:v>545</c:v>
                </c:pt>
                <c:pt idx="99">
                  <c:v>555</c:v>
                </c:pt>
                <c:pt idx="100">
                  <c:v>565</c:v>
                </c:pt>
                <c:pt idx="101">
                  <c:v>575</c:v>
                </c:pt>
                <c:pt idx="102">
                  <c:v>595</c:v>
                </c:pt>
                <c:pt idx="103">
                  <c:v>615</c:v>
                </c:pt>
                <c:pt idx="104">
                  <c:v>635</c:v>
                </c:pt>
                <c:pt idx="105">
                  <c:v>655</c:v>
                </c:pt>
                <c:pt idx="106">
                  <c:v>675</c:v>
                </c:pt>
                <c:pt idx="107">
                  <c:v>695</c:v>
                </c:pt>
                <c:pt idx="108">
                  <c:v>715</c:v>
                </c:pt>
                <c:pt idx="109">
                  <c:v>735</c:v>
                </c:pt>
                <c:pt idx="110">
                  <c:v>755</c:v>
                </c:pt>
                <c:pt idx="111">
                  <c:v>775</c:v>
                </c:pt>
                <c:pt idx="112">
                  <c:v>825</c:v>
                </c:pt>
                <c:pt idx="113">
                  <c:v>875</c:v>
                </c:pt>
                <c:pt idx="114">
                  <c:v>925</c:v>
                </c:pt>
                <c:pt idx="115">
                  <c:v>975</c:v>
                </c:pt>
                <c:pt idx="116">
                  <c:v>1025</c:v>
                </c:pt>
                <c:pt idx="117">
                  <c:v>1075</c:v>
                </c:pt>
                <c:pt idx="118">
                  <c:v>1175</c:v>
                </c:pt>
                <c:pt idx="119">
                  <c:v>1275</c:v>
                </c:pt>
                <c:pt idx="120">
                  <c:v>1375</c:v>
                </c:pt>
                <c:pt idx="121">
                  <c:v>1475</c:v>
                </c:pt>
                <c:pt idx="122">
                  <c:v>1575</c:v>
                </c:pt>
                <c:pt idx="123">
                  <c:v>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1675</c:v>
                </c:pt>
              </c:numCache>
            </c:numRef>
          </c:xVal>
          <c:yVal>
            <c:numRef>
              <c:f>Dati!$H$2:$H$350</c:f>
              <c:numCache>
                <c:formatCode>0.00</c:formatCode>
                <c:ptCount val="349"/>
                <c:pt idx="0">
                  <c:v>-270</c:v>
                </c:pt>
                <c:pt idx="1">
                  <c:v>-271</c:v>
                </c:pt>
                <c:pt idx="2">
                  <c:v>-272</c:v>
                </c:pt>
                <c:pt idx="3">
                  <c:v>-273</c:v>
                </c:pt>
                <c:pt idx="4">
                  <c:v>-274</c:v>
                </c:pt>
                <c:pt idx="5">
                  <c:v>-275</c:v>
                </c:pt>
                <c:pt idx="6">
                  <c:v>-276</c:v>
                </c:pt>
                <c:pt idx="7">
                  <c:v>-277</c:v>
                </c:pt>
                <c:pt idx="8">
                  <c:v>-278</c:v>
                </c:pt>
                <c:pt idx="9">
                  <c:v>-279</c:v>
                </c:pt>
                <c:pt idx="10">
                  <c:v>-280</c:v>
                </c:pt>
                <c:pt idx="11">
                  <c:v>-281</c:v>
                </c:pt>
                <c:pt idx="12">
                  <c:v>-282</c:v>
                </c:pt>
                <c:pt idx="13">
                  <c:v>-283</c:v>
                </c:pt>
                <c:pt idx="14">
                  <c:v>-284</c:v>
                </c:pt>
                <c:pt idx="15">
                  <c:v>-285</c:v>
                </c:pt>
                <c:pt idx="16">
                  <c:v>-286</c:v>
                </c:pt>
                <c:pt idx="17">
                  <c:v>-287</c:v>
                </c:pt>
                <c:pt idx="18">
                  <c:v>-288</c:v>
                </c:pt>
                <c:pt idx="19">
                  <c:v>-289</c:v>
                </c:pt>
                <c:pt idx="20">
                  <c:v>-290</c:v>
                </c:pt>
                <c:pt idx="21">
                  <c:v>-291</c:v>
                </c:pt>
                <c:pt idx="22">
                  <c:v>-292</c:v>
                </c:pt>
                <c:pt idx="23">
                  <c:v>-293</c:v>
                </c:pt>
                <c:pt idx="24">
                  <c:v>-294</c:v>
                </c:pt>
                <c:pt idx="25">
                  <c:v>-295</c:v>
                </c:pt>
                <c:pt idx="26">
                  <c:v>-296</c:v>
                </c:pt>
                <c:pt idx="27">
                  <c:v>-297</c:v>
                </c:pt>
                <c:pt idx="28">
                  <c:v>-298</c:v>
                </c:pt>
                <c:pt idx="29">
                  <c:v>-299</c:v>
                </c:pt>
                <c:pt idx="30">
                  <c:v>-300</c:v>
                </c:pt>
                <c:pt idx="31">
                  <c:v>-301</c:v>
                </c:pt>
                <c:pt idx="32">
                  <c:v>-302</c:v>
                </c:pt>
                <c:pt idx="33">
                  <c:v>-303</c:v>
                </c:pt>
                <c:pt idx="34">
                  <c:v>-304</c:v>
                </c:pt>
                <c:pt idx="35">
                  <c:v>-305</c:v>
                </c:pt>
                <c:pt idx="36">
                  <c:v>-306</c:v>
                </c:pt>
                <c:pt idx="37">
                  <c:v>-307</c:v>
                </c:pt>
                <c:pt idx="38">
                  <c:v>-308</c:v>
                </c:pt>
                <c:pt idx="39">
                  <c:v>-309</c:v>
                </c:pt>
                <c:pt idx="40">
                  <c:v>-310</c:v>
                </c:pt>
                <c:pt idx="41">
                  <c:v>-311</c:v>
                </c:pt>
                <c:pt idx="42">
                  <c:v>-312</c:v>
                </c:pt>
                <c:pt idx="43">
                  <c:v>-313</c:v>
                </c:pt>
                <c:pt idx="44">
                  <c:v>-314</c:v>
                </c:pt>
                <c:pt idx="45">
                  <c:v>-315</c:v>
                </c:pt>
                <c:pt idx="46">
                  <c:v>-317</c:v>
                </c:pt>
                <c:pt idx="47">
                  <c:v>-319</c:v>
                </c:pt>
                <c:pt idx="48">
                  <c:v>-321</c:v>
                </c:pt>
                <c:pt idx="49">
                  <c:v>-323</c:v>
                </c:pt>
                <c:pt idx="50">
                  <c:v>-325</c:v>
                </c:pt>
                <c:pt idx="51">
                  <c:v>-327</c:v>
                </c:pt>
                <c:pt idx="52">
                  <c:v>-329</c:v>
                </c:pt>
                <c:pt idx="53">
                  <c:v>-331</c:v>
                </c:pt>
                <c:pt idx="54">
                  <c:v>-333</c:v>
                </c:pt>
                <c:pt idx="55">
                  <c:v>-335</c:v>
                </c:pt>
                <c:pt idx="56">
                  <c:v>-337</c:v>
                </c:pt>
                <c:pt idx="57">
                  <c:v>-339</c:v>
                </c:pt>
                <c:pt idx="58">
                  <c:v>-341</c:v>
                </c:pt>
                <c:pt idx="59">
                  <c:v>-343</c:v>
                </c:pt>
                <c:pt idx="60">
                  <c:v>-345</c:v>
                </c:pt>
                <c:pt idx="61">
                  <c:v>-347</c:v>
                </c:pt>
                <c:pt idx="62">
                  <c:v>-349</c:v>
                </c:pt>
                <c:pt idx="63">
                  <c:v>-351</c:v>
                </c:pt>
                <c:pt idx="64">
                  <c:v>-354</c:v>
                </c:pt>
                <c:pt idx="65">
                  <c:v>-357</c:v>
                </c:pt>
                <c:pt idx="66">
                  <c:v>-360</c:v>
                </c:pt>
                <c:pt idx="67">
                  <c:v>-363</c:v>
                </c:pt>
                <c:pt idx="68">
                  <c:v>-366</c:v>
                </c:pt>
                <c:pt idx="69">
                  <c:v>-369</c:v>
                </c:pt>
                <c:pt idx="70">
                  <c:v>-372</c:v>
                </c:pt>
                <c:pt idx="71">
                  <c:v>-375</c:v>
                </c:pt>
                <c:pt idx="72">
                  <c:v>-379</c:v>
                </c:pt>
                <c:pt idx="73">
                  <c:v>-383</c:v>
                </c:pt>
                <c:pt idx="74">
                  <c:v>-387</c:v>
                </c:pt>
                <c:pt idx="75">
                  <c:v>-391</c:v>
                </c:pt>
                <c:pt idx="76">
                  <c:v>-395</c:v>
                </c:pt>
                <c:pt idx="77">
                  <c:v>-399</c:v>
                </c:pt>
                <c:pt idx="78">
                  <c:v>-403</c:v>
                </c:pt>
                <c:pt idx="79">
                  <c:v>-407</c:v>
                </c:pt>
                <c:pt idx="80">
                  <c:v>-412</c:v>
                </c:pt>
                <c:pt idx="81">
                  <c:v>-417</c:v>
                </c:pt>
                <c:pt idx="82">
                  <c:v>-422</c:v>
                </c:pt>
                <c:pt idx="83">
                  <c:v>-427</c:v>
                </c:pt>
                <c:pt idx="84">
                  <c:v>-432</c:v>
                </c:pt>
                <c:pt idx="85">
                  <c:v>-437</c:v>
                </c:pt>
                <c:pt idx="86">
                  <c:v>-442</c:v>
                </c:pt>
                <c:pt idx="87">
                  <c:v>-447</c:v>
                </c:pt>
                <c:pt idx="88">
                  <c:v>-454</c:v>
                </c:pt>
                <c:pt idx="89">
                  <c:v>-461</c:v>
                </c:pt>
                <c:pt idx="90">
                  <c:v>-468</c:v>
                </c:pt>
                <c:pt idx="91">
                  <c:v>-475</c:v>
                </c:pt>
                <c:pt idx="92">
                  <c:v>-485</c:v>
                </c:pt>
                <c:pt idx="93">
                  <c:v>-495</c:v>
                </c:pt>
                <c:pt idx="94">
                  <c:v>-505</c:v>
                </c:pt>
                <c:pt idx="95">
                  <c:v>-515</c:v>
                </c:pt>
                <c:pt idx="96">
                  <c:v>-525</c:v>
                </c:pt>
                <c:pt idx="97">
                  <c:v>-535</c:v>
                </c:pt>
                <c:pt idx="98">
                  <c:v>-545</c:v>
                </c:pt>
                <c:pt idx="99">
                  <c:v>-555</c:v>
                </c:pt>
                <c:pt idx="100">
                  <c:v>-565</c:v>
                </c:pt>
                <c:pt idx="101">
                  <c:v>-575</c:v>
                </c:pt>
                <c:pt idx="102">
                  <c:v>-595</c:v>
                </c:pt>
                <c:pt idx="103">
                  <c:v>-615</c:v>
                </c:pt>
                <c:pt idx="104">
                  <c:v>-635</c:v>
                </c:pt>
                <c:pt idx="105">
                  <c:v>-655</c:v>
                </c:pt>
                <c:pt idx="106">
                  <c:v>-675</c:v>
                </c:pt>
                <c:pt idx="107">
                  <c:v>-695</c:v>
                </c:pt>
                <c:pt idx="108">
                  <c:v>-715</c:v>
                </c:pt>
                <c:pt idx="109">
                  <c:v>-735</c:v>
                </c:pt>
                <c:pt idx="110">
                  <c:v>-755</c:v>
                </c:pt>
                <c:pt idx="111">
                  <c:v>-775</c:v>
                </c:pt>
                <c:pt idx="112">
                  <c:v>-825</c:v>
                </c:pt>
                <c:pt idx="113">
                  <c:v>-875</c:v>
                </c:pt>
                <c:pt idx="114">
                  <c:v>-925</c:v>
                </c:pt>
                <c:pt idx="115">
                  <c:v>-975</c:v>
                </c:pt>
                <c:pt idx="116">
                  <c:v>-1025</c:v>
                </c:pt>
                <c:pt idx="117">
                  <c:v>-1075</c:v>
                </c:pt>
                <c:pt idx="118">
                  <c:v>-1175</c:v>
                </c:pt>
                <c:pt idx="119">
                  <c:v>-1275</c:v>
                </c:pt>
                <c:pt idx="120">
                  <c:v>-1375</c:v>
                </c:pt>
                <c:pt idx="121">
                  <c:v>-1475</c:v>
                </c:pt>
                <c:pt idx="122">
                  <c:v>-1575</c:v>
                </c:pt>
                <c:pt idx="123">
                  <c:v>-1675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CE9-4F27-9351-19DBE9590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042160"/>
        <c:axId val="360052048"/>
      </c:scatterChart>
      <c:valAx>
        <c:axId val="54904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052048"/>
        <c:crosses val="autoZero"/>
        <c:crossBetween val="midCat"/>
      </c:valAx>
      <c:valAx>
        <c:axId val="3600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9042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</a:t>
            </a:r>
            <a:r>
              <a:rPr lang="en-US" baseline="0"/>
              <a:t> iniziale </a:t>
            </a:r>
            <a:r>
              <a:rPr lang="en-US" sz="800" baseline="0"/>
              <a:t>prima che si riesca a prendere y_max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Dati!$H$1</c:f>
              <c:strCache>
                <c:ptCount val="1"/>
                <c:pt idx="0">
                  <c:v>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Dati!$G$2:$G$130</c:f>
              <c:numCache>
                <c:formatCode>General</c:formatCode>
                <c:ptCount val="129"/>
                <c:pt idx="0">
                  <c:v>270</c:v>
                </c:pt>
                <c:pt idx="1">
                  <c:v>271</c:v>
                </c:pt>
                <c:pt idx="2">
                  <c:v>272</c:v>
                </c:pt>
                <c:pt idx="3">
                  <c:v>273</c:v>
                </c:pt>
                <c:pt idx="4">
                  <c:v>274</c:v>
                </c:pt>
                <c:pt idx="5">
                  <c:v>275</c:v>
                </c:pt>
                <c:pt idx="6">
                  <c:v>276</c:v>
                </c:pt>
                <c:pt idx="7">
                  <c:v>277</c:v>
                </c:pt>
                <c:pt idx="8">
                  <c:v>278</c:v>
                </c:pt>
                <c:pt idx="9">
                  <c:v>279</c:v>
                </c:pt>
                <c:pt idx="10">
                  <c:v>280</c:v>
                </c:pt>
                <c:pt idx="11">
                  <c:v>281</c:v>
                </c:pt>
                <c:pt idx="12">
                  <c:v>282</c:v>
                </c:pt>
                <c:pt idx="13">
                  <c:v>283</c:v>
                </c:pt>
                <c:pt idx="14">
                  <c:v>284</c:v>
                </c:pt>
                <c:pt idx="15">
                  <c:v>285</c:v>
                </c:pt>
                <c:pt idx="16">
                  <c:v>286</c:v>
                </c:pt>
                <c:pt idx="17">
                  <c:v>287</c:v>
                </c:pt>
                <c:pt idx="18">
                  <c:v>288</c:v>
                </c:pt>
                <c:pt idx="19">
                  <c:v>289</c:v>
                </c:pt>
                <c:pt idx="20">
                  <c:v>290</c:v>
                </c:pt>
                <c:pt idx="21">
                  <c:v>291</c:v>
                </c:pt>
                <c:pt idx="22">
                  <c:v>292</c:v>
                </c:pt>
                <c:pt idx="23">
                  <c:v>293</c:v>
                </c:pt>
                <c:pt idx="24">
                  <c:v>294</c:v>
                </c:pt>
                <c:pt idx="25">
                  <c:v>295</c:v>
                </c:pt>
                <c:pt idx="26">
                  <c:v>296</c:v>
                </c:pt>
                <c:pt idx="27">
                  <c:v>297</c:v>
                </c:pt>
                <c:pt idx="28">
                  <c:v>298</c:v>
                </c:pt>
                <c:pt idx="29">
                  <c:v>299</c:v>
                </c:pt>
                <c:pt idx="30">
                  <c:v>300</c:v>
                </c:pt>
                <c:pt idx="31">
                  <c:v>301</c:v>
                </c:pt>
                <c:pt idx="32">
                  <c:v>302</c:v>
                </c:pt>
                <c:pt idx="33">
                  <c:v>303</c:v>
                </c:pt>
                <c:pt idx="34">
                  <c:v>304</c:v>
                </c:pt>
                <c:pt idx="35">
                  <c:v>305</c:v>
                </c:pt>
                <c:pt idx="36">
                  <c:v>306</c:v>
                </c:pt>
                <c:pt idx="37">
                  <c:v>307</c:v>
                </c:pt>
                <c:pt idx="38">
                  <c:v>308</c:v>
                </c:pt>
                <c:pt idx="39">
                  <c:v>309</c:v>
                </c:pt>
                <c:pt idx="40">
                  <c:v>310</c:v>
                </c:pt>
                <c:pt idx="41">
                  <c:v>311</c:v>
                </c:pt>
                <c:pt idx="42">
                  <c:v>312</c:v>
                </c:pt>
                <c:pt idx="43">
                  <c:v>313</c:v>
                </c:pt>
                <c:pt idx="44">
                  <c:v>314</c:v>
                </c:pt>
                <c:pt idx="45">
                  <c:v>315</c:v>
                </c:pt>
                <c:pt idx="46">
                  <c:v>317</c:v>
                </c:pt>
                <c:pt idx="47">
                  <c:v>319</c:v>
                </c:pt>
                <c:pt idx="48">
                  <c:v>321</c:v>
                </c:pt>
                <c:pt idx="49">
                  <c:v>323</c:v>
                </c:pt>
                <c:pt idx="50">
                  <c:v>325</c:v>
                </c:pt>
                <c:pt idx="51">
                  <c:v>327</c:v>
                </c:pt>
                <c:pt idx="52">
                  <c:v>329</c:v>
                </c:pt>
                <c:pt idx="53">
                  <c:v>331</c:v>
                </c:pt>
                <c:pt idx="54">
                  <c:v>333</c:v>
                </c:pt>
                <c:pt idx="55">
                  <c:v>335</c:v>
                </c:pt>
                <c:pt idx="56">
                  <c:v>337</c:v>
                </c:pt>
                <c:pt idx="57">
                  <c:v>339</c:v>
                </c:pt>
                <c:pt idx="58">
                  <c:v>341</c:v>
                </c:pt>
                <c:pt idx="59">
                  <c:v>343</c:v>
                </c:pt>
                <c:pt idx="60">
                  <c:v>345</c:v>
                </c:pt>
                <c:pt idx="61">
                  <c:v>347</c:v>
                </c:pt>
                <c:pt idx="62">
                  <c:v>349</c:v>
                </c:pt>
                <c:pt idx="63">
                  <c:v>351</c:v>
                </c:pt>
                <c:pt idx="64">
                  <c:v>354</c:v>
                </c:pt>
                <c:pt idx="65">
                  <c:v>357</c:v>
                </c:pt>
                <c:pt idx="66">
                  <c:v>360</c:v>
                </c:pt>
                <c:pt idx="67">
                  <c:v>363</c:v>
                </c:pt>
                <c:pt idx="68">
                  <c:v>366</c:v>
                </c:pt>
                <c:pt idx="69">
                  <c:v>369</c:v>
                </c:pt>
                <c:pt idx="70">
                  <c:v>372</c:v>
                </c:pt>
                <c:pt idx="71">
                  <c:v>375</c:v>
                </c:pt>
                <c:pt idx="72">
                  <c:v>379</c:v>
                </c:pt>
                <c:pt idx="73">
                  <c:v>383</c:v>
                </c:pt>
                <c:pt idx="74">
                  <c:v>387</c:v>
                </c:pt>
                <c:pt idx="75">
                  <c:v>391</c:v>
                </c:pt>
                <c:pt idx="76">
                  <c:v>395</c:v>
                </c:pt>
                <c:pt idx="77">
                  <c:v>399</c:v>
                </c:pt>
                <c:pt idx="78">
                  <c:v>403</c:v>
                </c:pt>
                <c:pt idx="79">
                  <c:v>407</c:v>
                </c:pt>
                <c:pt idx="80">
                  <c:v>412</c:v>
                </c:pt>
                <c:pt idx="81">
                  <c:v>417</c:v>
                </c:pt>
                <c:pt idx="82">
                  <c:v>422</c:v>
                </c:pt>
                <c:pt idx="83">
                  <c:v>427</c:v>
                </c:pt>
                <c:pt idx="84">
                  <c:v>432</c:v>
                </c:pt>
                <c:pt idx="85">
                  <c:v>437</c:v>
                </c:pt>
                <c:pt idx="86">
                  <c:v>442</c:v>
                </c:pt>
                <c:pt idx="87">
                  <c:v>447</c:v>
                </c:pt>
                <c:pt idx="88">
                  <c:v>454</c:v>
                </c:pt>
                <c:pt idx="89">
                  <c:v>461</c:v>
                </c:pt>
                <c:pt idx="90">
                  <c:v>468</c:v>
                </c:pt>
                <c:pt idx="91">
                  <c:v>475</c:v>
                </c:pt>
                <c:pt idx="92">
                  <c:v>485</c:v>
                </c:pt>
                <c:pt idx="93">
                  <c:v>495</c:v>
                </c:pt>
                <c:pt idx="94">
                  <c:v>505</c:v>
                </c:pt>
                <c:pt idx="95">
                  <c:v>515</c:v>
                </c:pt>
                <c:pt idx="96">
                  <c:v>525</c:v>
                </c:pt>
                <c:pt idx="97">
                  <c:v>535</c:v>
                </c:pt>
                <c:pt idx="98">
                  <c:v>545</c:v>
                </c:pt>
                <c:pt idx="99">
                  <c:v>555</c:v>
                </c:pt>
                <c:pt idx="100">
                  <c:v>565</c:v>
                </c:pt>
                <c:pt idx="101">
                  <c:v>575</c:v>
                </c:pt>
                <c:pt idx="102">
                  <c:v>595</c:v>
                </c:pt>
                <c:pt idx="103">
                  <c:v>615</c:v>
                </c:pt>
                <c:pt idx="104">
                  <c:v>635</c:v>
                </c:pt>
                <c:pt idx="105">
                  <c:v>655</c:v>
                </c:pt>
                <c:pt idx="106">
                  <c:v>675</c:v>
                </c:pt>
                <c:pt idx="107">
                  <c:v>695</c:v>
                </c:pt>
                <c:pt idx="108">
                  <c:v>715</c:v>
                </c:pt>
                <c:pt idx="109">
                  <c:v>735</c:v>
                </c:pt>
                <c:pt idx="110">
                  <c:v>755</c:v>
                </c:pt>
                <c:pt idx="111">
                  <c:v>775</c:v>
                </c:pt>
                <c:pt idx="112">
                  <c:v>825</c:v>
                </c:pt>
                <c:pt idx="113">
                  <c:v>875</c:v>
                </c:pt>
                <c:pt idx="114">
                  <c:v>925</c:v>
                </c:pt>
                <c:pt idx="115">
                  <c:v>975</c:v>
                </c:pt>
                <c:pt idx="116">
                  <c:v>1025</c:v>
                </c:pt>
                <c:pt idx="117">
                  <c:v>1075</c:v>
                </c:pt>
                <c:pt idx="118">
                  <c:v>1175</c:v>
                </c:pt>
                <c:pt idx="119">
                  <c:v>1275</c:v>
                </c:pt>
                <c:pt idx="120">
                  <c:v>1375</c:v>
                </c:pt>
                <c:pt idx="121">
                  <c:v>1475</c:v>
                </c:pt>
                <c:pt idx="122">
                  <c:v>1575</c:v>
                </c:pt>
                <c:pt idx="123">
                  <c:v>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1675</c:v>
                </c:pt>
              </c:numCache>
            </c:numRef>
          </c:xVal>
          <c:yVal>
            <c:numRef>
              <c:f>Dati!$H$2:$H$130</c:f>
              <c:numCache>
                <c:formatCode>0.00</c:formatCode>
                <c:ptCount val="129"/>
                <c:pt idx="0">
                  <c:v>-270</c:v>
                </c:pt>
                <c:pt idx="1">
                  <c:v>-271</c:v>
                </c:pt>
                <c:pt idx="2">
                  <c:v>-272</c:v>
                </c:pt>
                <c:pt idx="3">
                  <c:v>-273</c:v>
                </c:pt>
                <c:pt idx="4">
                  <c:v>-274</c:v>
                </c:pt>
                <c:pt idx="5">
                  <c:v>-275</c:v>
                </c:pt>
                <c:pt idx="6">
                  <c:v>-276</c:v>
                </c:pt>
                <c:pt idx="7">
                  <c:v>-277</c:v>
                </c:pt>
                <c:pt idx="8">
                  <c:v>-278</c:v>
                </c:pt>
                <c:pt idx="9">
                  <c:v>-279</c:v>
                </c:pt>
                <c:pt idx="10">
                  <c:v>-280</c:v>
                </c:pt>
                <c:pt idx="11">
                  <c:v>-281</c:v>
                </c:pt>
                <c:pt idx="12">
                  <c:v>-282</c:v>
                </c:pt>
                <c:pt idx="13">
                  <c:v>-283</c:v>
                </c:pt>
                <c:pt idx="14">
                  <c:v>-284</c:v>
                </c:pt>
                <c:pt idx="15">
                  <c:v>-285</c:v>
                </c:pt>
                <c:pt idx="16">
                  <c:v>-286</c:v>
                </c:pt>
                <c:pt idx="17">
                  <c:v>-287</c:v>
                </c:pt>
                <c:pt idx="18">
                  <c:v>-288</c:v>
                </c:pt>
                <c:pt idx="19">
                  <c:v>-289</c:v>
                </c:pt>
                <c:pt idx="20">
                  <c:v>-290</c:v>
                </c:pt>
                <c:pt idx="21">
                  <c:v>-291</c:v>
                </c:pt>
                <c:pt idx="22">
                  <c:v>-292</c:v>
                </c:pt>
                <c:pt idx="23">
                  <c:v>-293</c:v>
                </c:pt>
                <c:pt idx="24">
                  <c:v>-294</c:v>
                </c:pt>
                <c:pt idx="25">
                  <c:v>-295</c:v>
                </c:pt>
                <c:pt idx="26">
                  <c:v>-296</c:v>
                </c:pt>
                <c:pt idx="27">
                  <c:v>-297</c:v>
                </c:pt>
                <c:pt idx="28">
                  <c:v>-298</c:v>
                </c:pt>
                <c:pt idx="29">
                  <c:v>-299</c:v>
                </c:pt>
                <c:pt idx="30">
                  <c:v>-300</c:v>
                </c:pt>
                <c:pt idx="31">
                  <c:v>-301</c:v>
                </c:pt>
                <c:pt idx="32">
                  <c:v>-302</c:v>
                </c:pt>
                <c:pt idx="33">
                  <c:v>-303</c:v>
                </c:pt>
                <c:pt idx="34">
                  <c:v>-304</c:v>
                </c:pt>
                <c:pt idx="35">
                  <c:v>-305</c:v>
                </c:pt>
                <c:pt idx="36">
                  <c:v>-306</c:v>
                </c:pt>
                <c:pt idx="37">
                  <c:v>-307</c:v>
                </c:pt>
                <c:pt idx="38">
                  <c:v>-308</c:v>
                </c:pt>
                <c:pt idx="39">
                  <c:v>-309</c:v>
                </c:pt>
                <c:pt idx="40">
                  <c:v>-310</c:v>
                </c:pt>
                <c:pt idx="41">
                  <c:v>-311</c:v>
                </c:pt>
                <c:pt idx="42">
                  <c:v>-312</c:v>
                </c:pt>
                <c:pt idx="43">
                  <c:v>-313</c:v>
                </c:pt>
                <c:pt idx="44">
                  <c:v>-314</c:v>
                </c:pt>
                <c:pt idx="45">
                  <c:v>-315</c:v>
                </c:pt>
                <c:pt idx="46">
                  <c:v>-317</c:v>
                </c:pt>
                <c:pt idx="47">
                  <c:v>-319</c:v>
                </c:pt>
                <c:pt idx="48">
                  <c:v>-321</c:v>
                </c:pt>
                <c:pt idx="49">
                  <c:v>-323</c:v>
                </c:pt>
                <c:pt idx="50">
                  <c:v>-325</c:v>
                </c:pt>
                <c:pt idx="51">
                  <c:v>-327</c:v>
                </c:pt>
                <c:pt idx="52">
                  <c:v>-329</c:v>
                </c:pt>
                <c:pt idx="53">
                  <c:v>-331</c:v>
                </c:pt>
                <c:pt idx="54">
                  <c:v>-333</c:v>
                </c:pt>
                <c:pt idx="55">
                  <c:v>-335</c:v>
                </c:pt>
                <c:pt idx="56">
                  <c:v>-337</c:v>
                </c:pt>
                <c:pt idx="57">
                  <c:v>-339</c:v>
                </c:pt>
                <c:pt idx="58">
                  <c:v>-341</c:v>
                </c:pt>
                <c:pt idx="59">
                  <c:v>-343</c:v>
                </c:pt>
                <c:pt idx="60">
                  <c:v>-345</c:v>
                </c:pt>
                <c:pt idx="61">
                  <c:v>-347</c:v>
                </c:pt>
                <c:pt idx="62">
                  <c:v>-349</c:v>
                </c:pt>
                <c:pt idx="63">
                  <c:v>-351</c:v>
                </c:pt>
                <c:pt idx="64">
                  <c:v>-354</c:v>
                </c:pt>
                <c:pt idx="65">
                  <c:v>-357</c:v>
                </c:pt>
                <c:pt idx="66">
                  <c:v>-360</c:v>
                </c:pt>
                <c:pt idx="67">
                  <c:v>-363</c:v>
                </c:pt>
                <c:pt idx="68">
                  <c:v>-366</c:v>
                </c:pt>
                <c:pt idx="69">
                  <c:v>-369</c:v>
                </c:pt>
                <c:pt idx="70">
                  <c:v>-372</c:v>
                </c:pt>
                <c:pt idx="71">
                  <c:v>-375</c:v>
                </c:pt>
                <c:pt idx="72">
                  <c:v>-379</c:v>
                </c:pt>
                <c:pt idx="73">
                  <c:v>-383</c:v>
                </c:pt>
                <c:pt idx="74">
                  <c:v>-387</c:v>
                </c:pt>
                <c:pt idx="75">
                  <c:v>-391</c:v>
                </c:pt>
                <c:pt idx="76">
                  <c:v>-395</c:v>
                </c:pt>
                <c:pt idx="77">
                  <c:v>-399</c:v>
                </c:pt>
                <c:pt idx="78">
                  <c:v>-403</c:v>
                </c:pt>
                <c:pt idx="79">
                  <c:v>-407</c:v>
                </c:pt>
                <c:pt idx="80">
                  <c:v>-412</c:v>
                </c:pt>
                <c:pt idx="81">
                  <c:v>-417</c:v>
                </c:pt>
                <c:pt idx="82">
                  <c:v>-422</c:v>
                </c:pt>
                <c:pt idx="83">
                  <c:v>-427</c:v>
                </c:pt>
                <c:pt idx="84">
                  <c:v>-432</c:v>
                </c:pt>
                <c:pt idx="85">
                  <c:v>-437</c:v>
                </c:pt>
                <c:pt idx="86">
                  <c:v>-442</c:v>
                </c:pt>
                <c:pt idx="87">
                  <c:v>-447</c:v>
                </c:pt>
                <c:pt idx="88">
                  <c:v>-454</c:v>
                </c:pt>
                <c:pt idx="89">
                  <c:v>-461</c:v>
                </c:pt>
                <c:pt idx="90">
                  <c:v>-468</c:v>
                </c:pt>
                <c:pt idx="91">
                  <c:v>-475</c:v>
                </c:pt>
                <c:pt idx="92">
                  <c:v>-485</c:v>
                </c:pt>
                <c:pt idx="93">
                  <c:v>-495</c:v>
                </c:pt>
                <c:pt idx="94">
                  <c:v>-505</c:v>
                </c:pt>
                <c:pt idx="95">
                  <c:v>-515</c:v>
                </c:pt>
                <c:pt idx="96">
                  <c:v>-525</c:v>
                </c:pt>
                <c:pt idx="97">
                  <c:v>-535</c:v>
                </c:pt>
                <c:pt idx="98">
                  <c:v>-545</c:v>
                </c:pt>
                <c:pt idx="99">
                  <c:v>-555</c:v>
                </c:pt>
                <c:pt idx="100">
                  <c:v>-565</c:v>
                </c:pt>
                <c:pt idx="101">
                  <c:v>-575</c:v>
                </c:pt>
                <c:pt idx="102">
                  <c:v>-595</c:v>
                </c:pt>
                <c:pt idx="103">
                  <c:v>-615</c:v>
                </c:pt>
                <c:pt idx="104">
                  <c:v>-635</c:v>
                </c:pt>
                <c:pt idx="105">
                  <c:v>-655</c:v>
                </c:pt>
                <c:pt idx="106">
                  <c:v>-675</c:v>
                </c:pt>
                <c:pt idx="107">
                  <c:v>-695</c:v>
                </c:pt>
                <c:pt idx="108">
                  <c:v>-715</c:v>
                </c:pt>
                <c:pt idx="109">
                  <c:v>-735</c:v>
                </c:pt>
                <c:pt idx="110">
                  <c:v>-755</c:v>
                </c:pt>
                <c:pt idx="111">
                  <c:v>-775</c:v>
                </c:pt>
                <c:pt idx="112">
                  <c:v>-825</c:v>
                </c:pt>
                <c:pt idx="113">
                  <c:v>-875</c:v>
                </c:pt>
                <c:pt idx="114">
                  <c:v>-925</c:v>
                </c:pt>
                <c:pt idx="115">
                  <c:v>-975</c:v>
                </c:pt>
                <c:pt idx="116">
                  <c:v>-1025</c:v>
                </c:pt>
                <c:pt idx="117">
                  <c:v>-1075</c:v>
                </c:pt>
                <c:pt idx="118">
                  <c:v>-1175</c:v>
                </c:pt>
                <c:pt idx="119">
                  <c:v>-1275</c:v>
                </c:pt>
                <c:pt idx="120">
                  <c:v>-1375</c:v>
                </c:pt>
                <c:pt idx="121">
                  <c:v>-1475</c:v>
                </c:pt>
                <c:pt idx="122">
                  <c:v>-1575</c:v>
                </c:pt>
                <c:pt idx="123">
                  <c:v>-1675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F-4E4D-BEFB-F95B9E0FD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088111"/>
        <c:axId val="347867855"/>
      </c:scatterChart>
      <c:valAx>
        <c:axId val="155908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47867855"/>
        <c:crosses val="autoZero"/>
        <c:crossBetween val="midCat"/>
      </c:valAx>
      <c:valAx>
        <c:axId val="34786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908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348115</xdr:colOff>
      <xdr:row>26</xdr:row>
      <xdr:rowOff>50133</xdr:rowOff>
    </xdr:from>
    <xdr:to>
      <xdr:col>28</xdr:col>
      <xdr:colOff>431132</xdr:colOff>
      <xdr:row>53</xdr:row>
      <xdr:rowOff>150396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73106-7C82-4CB8-8374-6B1DFB321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350920</xdr:colOff>
      <xdr:row>0</xdr:row>
      <xdr:rowOff>0</xdr:rowOff>
    </xdr:from>
    <xdr:to>
      <xdr:col>27</xdr:col>
      <xdr:colOff>391025</xdr:colOff>
      <xdr:row>26</xdr:row>
      <xdr:rowOff>8021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38EFD-2B3D-4FE0-A759-90BD97B61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348115</xdr:colOff>
      <xdr:row>26</xdr:row>
      <xdr:rowOff>50133</xdr:rowOff>
    </xdr:from>
    <xdr:to>
      <xdr:col>28</xdr:col>
      <xdr:colOff>431132</xdr:colOff>
      <xdr:row>53</xdr:row>
      <xdr:rowOff>150396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96DBB-AC44-6B40-50CB-C2C79B2AA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350920</xdr:colOff>
      <xdr:row>0</xdr:row>
      <xdr:rowOff>0</xdr:rowOff>
    </xdr:from>
    <xdr:to>
      <xdr:col>27</xdr:col>
      <xdr:colOff>391025</xdr:colOff>
      <xdr:row>26</xdr:row>
      <xdr:rowOff>8021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D2F0F2-343A-85ED-CF72-FFE89C642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4A7F1C6-D7E3-78D5-1E0A-4C1192FA21EF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t-IT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MIROLO MANUELE [SM2001968]" id="{095893E3-3A15-431A-8AD1-93B6262F877A}" userId="S::s314845@ds.units.it::a8968b4f-25cc-4a01-98d4-7c5bb5043be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10-14T12:37:08.63" personId="{095893E3-3A15-431A-8AD1-93B6262F877A}" id="{8F9FD4D8-9329-4419-88E1-4D29327B2685}">
    <text>Inserire qui finchè non si riesce a misurare y_max, appena si riesce copiare i valori nella colonna y_max e continuare su quella colonna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6-10-14T12:37:08.63" personId="{095893E3-3A15-431A-8AD1-93B6262F877A}" id="{0218E3E7-A9AD-4F4F-AE4E-8AA2C252319D}">
    <text>Inserire qui finchè non si riesce a misurare y_max, appena si riesce copiare i valori nella colonna y_max e continuare su quella colonna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F11" sqref="F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1"/>
      <c r="B2" s="1"/>
      <c r="C2" s="1"/>
    </row>
    <row r="4" spans="1:4" x14ac:dyDescent="0.3">
      <c r="A4" s="1" t="s">
        <v>3</v>
      </c>
      <c r="B4" s="1" t="s">
        <v>4</v>
      </c>
      <c r="C4" s="1" t="s">
        <v>5</v>
      </c>
    </row>
    <row r="5" spans="1:4" x14ac:dyDescent="0.3">
      <c r="A5" s="1"/>
      <c r="B5" s="1"/>
      <c r="C5" s="1"/>
    </row>
    <row r="7" spans="1:4" x14ac:dyDescent="0.3">
      <c r="A7" s="1" t="s">
        <v>6</v>
      </c>
      <c r="B7" s="1" t="s">
        <v>8</v>
      </c>
      <c r="C7" s="1" t="s">
        <v>10</v>
      </c>
      <c r="D7" s="1" t="s">
        <v>14</v>
      </c>
    </row>
    <row r="8" spans="1:4" x14ac:dyDescent="0.3">
      <c r="A8" s="1"/>
      <c r="B8" s="1">
        <v>0.2</v>
      </c>
      <c r="C8" s="1">
        <f>B8/SQRT(3)</f>
        <v>0.11547005383792516</v>
      </c>
      <c r="D8" s="1">
        <f>B8/SQRT(3)</f>
        <v>0.11547005383792516</v>
      </c>
    </row>
    <row r="10" spans="1:4" x14ac:dyDescent="0.3">
      <c r="A10" s="1" t="s">
        <v>7</v>
      </c>
      <c r="B10" s="1" t="s">
        <v>9</v>
      </c>
      <c r="C10" s="1" t="s">
        <v>11</v>
      </c>
      <c r="D10" s="1" t="s">
        <v>13</v>
      </c>
    </row>
    <row r="11" spans="1:4" x14ac:dyDescent="0.3">
      <c r="A11" s="1"/>
      <c r="B11" s="1">
        <v>0.2</v>
      </c>
      <c r="C11" s="1">
        <f>B11/SQRT(3)</f>
        <v>0.11547005383792516</v>
      </c>
      <c r="D11" s="1">
        <f>B11/SQRT(3)</f>
        <v>0.11547005383792516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FF1A-0AFF-4D5D-8003-93DAC2E72B22}">
  <dimension ref="A1:J130"/>
  <sheetViews>
    <sheetView tabSelected="1" zoomScale="68" workbookViewId="0">
      <selection activeCell="L100" sqref="L100"/>
    </sheetView>
  </sheetViews>
  <sheetFormatPr defaultRowHeight="14.4" x14ac:dyDescent="0.3"/>
  <sheetData>
    <row r="1" spans="1:10" x14ac:dyDescent="0.3">
      <c r="A1" t="s">
        <v>12</v>
      </c>
      <c r="B1" t="s">
        <v>21</v>
      </c>
      <c r="C1" t="s">
        <v>20</v>
      </c>
      <c r="D1" t="s">
        <v>22</v>
      </c>
      <c r="E1" t="s">
        <v>15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3">
      <c r="A2" s="2">
        <v>270</v>
      </c>
      <c r="D2">
        <f>B2+2*E2</f>
        <v>3950</v>
      </c>
      <c r="E2" s="3">
        <v>1975</v>
      </c>
      <c r="F2">
        <f>IF(C2=0, Parametri!$D$8, ABS(B2-C2)/(2*SQRT(3)))</f>
        <v>0.11547005383792516</v>
      </c>
      <c r="G2">
        <f>(A2-335)+135.8+(Parametri!$A$5/2)</f>
        <v>70.800000000000011</v>
      </c>
      <c r="H2" s="3">
        <f>(E2-192)-('Dati (2)'!A2-Parametri!$A$11)+Parametri!$A$2</f>
        <v>1513</v>
      </c>
      <c r="I2">
        <f>F2</f>
        <v>0.11547005383792516</v>
      </c>
      <c r="J2">
        <f>Parametri!$D$8</f>
        <v>0.11547005383792516</v>
      </c>
    </row>
    <row r="3" spans="1:10" x14ac:dyDescent="0.3">
      <c r="A3" s="2">
        <f t="shared" ref="A3:A47" si="0">A2+1</f>
        <v>271</v>
      </c>
      <c r="D3">
        <f t="shared" ref="D3:D66" si="1">B3+2*E3</f>
        <v>3950</v>
      </c>
      <c r="E3" s="3">
        <v>1975</v>
      </c>
      <c r="F3">
        <f>IF(C3=0, Parametri!$D$8, ABS(B3-C3)/(2*SQRT(3)))</f>
        <v>0.11547005383792516</v>
      </c>
      <c r="G3">
        <f>(A3-335)+135.8+(Parametri!$A$5/2)</f>
        <v>71.800000000000011</v>
      </c>
      <c r="H3" s="3">
        <f>(E3-192)-('Dati (2)'!A3-Parametri!$A$11)+Parametri!$A$2</f>
        <v>1512</v>
      </c>
      <c r="I3">
        <f t="shared" ref="I3:I66" si="2">F3</f>
        <v>0.11547005383792516</v>
      </c>
      <c r="J3">
        <f>Parametri!$D$8</f>
        <v>0.11547005383792516</v>
      </c>
    </row>
    <row r="4" spans="1:10" x14ac:dyDescent="0.3">
      <c r="A4" s="2">
        <f t="shared" si="0"/>
        <v>272</v>
      </c>
      <c r="D4">
        <f t="shared" si="1"/>
        <v>3824</v>
      </c>
      <c r="E4" s="3">
        <v>1912</v>
      </c>
      <c r="F4">
        <f>IF(C4=0, Parametri!$D$8, ABS(B4-C4)/(2*SQRT(3)))</f>
        <v>0.11547005383792516</v>
      </c>
      <c r="G4">
        <f>(A4-335)+135.8+(Parametri!$A$5/2)</f>
        <v>72.800000000000011</v>
      </c>
      <c r="H4" s="3">
        <f>(E4-192)-('Dati (2)'!A4-Parametri!$A$11)+Parametri!$A$2</f>
        <v>1448</v>
      </c>
      <c r="I4">
        <f t="shared" si="2"/>
        <v>0.11547005383792516</v>
      </c>
      <c r="J4">
        <f>Parametri!$D$8</f>
        <v>0.11547005383792516</v>
      </c>
    </row>
    <row r="5" spans="1:10" x14ac:dyDescent="0.3">
      <c r="A5" s="2">
        <f t="shared" si="0"/>
        <v>273</v>
      </c>
      <c r="D5">
        <f t="shared" si="1"/>
        <v>3786</v>
      </c>
      <c r="E5" s="3">
        <v>1893</v>
      </c>
      <c r="F5">
        <f>IF(C5=0, Parametri!$D$8, ABS(B5-C5)/(2*SQRT(3)))</f>
        <v>0.11547005383792516</v>
      </c>
      <c r="G5">
        <f>(A5-335)+135.8+(Parametri!$A$5/2)</f>
        <v>73.800000000000011</v>
      </c>
      <c r="H5" s="3">
        <f>(E5-192)-('Dati (2)'!A5-Parametri!$A$11)+Parametri!$A$2</f>
        <v>1428</v>
      </c>
      <c r="I5">
        <f t="shared" si="2"/>
        <v>0.11547005383792516</v>
      </c>
      <c r="J5">
        <f>Parametri!$D$8</f>
        <v>0.11547005383792516</v>
      </c>
    </row>
    <row r="6" spans="1:10" x14ac:dyDescent="0.3">
      <c r="A6" s="2">
        <f t="shared" si="0"/>
        <v>274</v>
      </c>
      <c r="D6">
        <f t="shared" si="1"/>
        <v>3634</v>
      </c>
      <c r="E6" s="3">
        <v>1817</v>
      </c>
      <c r="F6">
        <f>IF(C6=0, Parametri!$D$8, ABS(B6-C6)/(2*SQRT(3)))</f>
        <v>0.11547005383792516</v>
      </c>
      <c r="G6">
        <f>(A6-335)+135.8+(Parametri!$A$5/2)</f>
        <v>74.800000000000011</v>
      </c>
      <c r="H6" s="3">
        <f>(E6-192)-('Dati (2)'!A6-Parametri!$A$11)+Parametri!$A$2</f>
        <v>1351</v>
      </c>
      <c r="I6">
        <f t="shared" si="2"/>
        <v>0.11547005383792516</v>
      </c>
      <c r="J6">
        <f>Parametri!$D$8</f>
        <v>0.11547005383792516</v>
      </c>
    </row>
    <row r="7" spans="1:10" x14ac:dyDescent="0.3">
      <c r="A7" s="2">
        <f t="shared" si="0"/>
        <v>275</v>
      </c>
      <c r="D7">
        <f t="shared" si="1"/>
        <v>3566</v>
      </c>
      <c r="E7" s="3">
        <v>1783</v>
      </c>
      <c r="F7">
        <f>IF(C7=0, Parametri!$D$8, ABS(B7-C7)/(2*SQRT(3)))</f>
        <v>0.11547005383792516</v>
      </c>
      <c r="G7">
        <f>(A7-335)+135.8+(Parametri!$A$5/2)</f>
        <v>75.800000000000011</v>
      </c>
      <c r="H7" s="3">
        <f>(E7-192)-('Dati (2)'!A7-Parametri!$A$11)+Parametri!$A$2</f>
        <v>1316</v>
      </c>
      <c r="I7">
        <f t="shared" si="2"/>
        <v>0.11547005383792516</v>
      </c>
      <c r="J7">
        <f>Parametri!$D$8</f>
        <v>0.11547005383792516</v>
      </c>
    </row>
    <row r="8" spans="1:10" x14ac:dyDescent="0.3">
      <c r="A8" s="2">
        <f t="shared" si="0"/>
        <v>276</v>
      </c>
      <c r="D8">
        <f t="shared" si="1"/>
        <v>3447</v>
      </c>
      <c r="E8" s="3">
        <v>1723.5</v>
      </c>
      <c r="F8">
        <f>IF(C8=0, Parametri!$D$8, ABS(B8-C8)/(2*SQRT(3)))</f>
        <v>0.11547005383792516</v>
      </c>
      <c r="G8">
        <f>(A8-335)+135.8+(Parametri!$A$5/2)</f>
        <v>76.800000000000011</v>
      </c>
      <c r="H8" s="3">
        <f>(E8-192)-('Dati (2)'!A8-Parametri!$A$11)+Parametri!$A$2</f>
        <v>1255.5</v>
      </c>
      <c r="I8">
        <f t="shared" si="2"/>
        <v>0.11547005383792516</v>
      </c>
      <c r="J8">
        <f>Parametri!$D$8</f>
        <v>0.11547005383792516</v>
      </c>
    </row>
    <row r="9" spans="1:10" x14ac:dyDescent="0.3">
      <c r="A9" s="2">
        <f t="shared" si="0"/>
        <v>277</v>
      </c>
      <c r="D9">
        <f t="shared" si="1"/>
        <v>3352</v>
      </c>
      <c r="E9" s="3">
        <v>1676</v>
      </c>
      <c r="F9">
        <f>IF(C9=0, Parametri!$D$8, ABS(B9-C9)/(2*SQRT(3)))</f>
        <v>0.11547005383792516</v>
      </c>
      <c r="G9">
        <f>(A9-335)+135.8+(Parametri!$A$5/2)</f>
        <v>77.800000000000011</v>
      </c>
      <c r="H9" s="3">
        <f>(E9-192)-('Dati (2)'!A9-Parametri!$A$11)+Parametri!$A$2</f>
        <v>1207</v>
      </c>
      <c r="I9">
        <f t="shared" si="2"/>
        <v>0.11547005383792516</v>
      </c>
      <c r="J9">
        <f>Parametri!$D$8</f>
        <v>0.11547005383792516</v>
      </c>
    </row>
    <row r="10" spans="1:10" x14ac:dyDescent="0.3">
      <c r="A10" s="2">
        <f t="shared" si="0"/>
        <v>278</v>
      </c>
      <c r="D10">
        <f t="shared" si="1"/>
        <v>3320</v>
      </c>
      <c r="E10" s="3">
        <v>1660</v>
      </c>
      <c r="F10">
        <f>IF(C10=0, Parametri!$D$8, ABS(B10-C10)/(2*SQRT(3)))</f>
        <v>0.11547005383792516</v>
      </c>
      <c r="G10">
        <f>(A10-335)+135.8+(Parametri!$A$5/2)</f>
        <v>78.800000000000011</v>
      </c>
      <c r="H10" s="3">
        <f>(E10-192)-('Dati (2)'!A10-Parametri!$A$11)+Parametri!$A$2</f>
        <v>1190</v>
      </c>
      <c r="I10">
        <f t="shared" si="2"/>
        <v>0.11547005383792516</v>
      </c>
      <c r="J10">
        <f>Parametri!$D$8</f>
        <v>0.11547005383792516</v>
      </c>
    </row>
    <row r="11" spans="1:10" x14ac:dyDescent="0.3">
      <c r="A11" s="2">
        <f t="shared" si="0"/>
        <v>279</v>
      </c>
      <c r="D11">
        <f t="shared" si="1"/>
        <v>3231</v>
      </c>
      <c r="E11" s="3">
        <v>1615.5</v>
      </c>
      <c r="F11">
        <f>IF(C11=0, Parametri!$D$8, ABS(B11-C11)/(2*SQRT(3)))</f>
        <v>0.11547005383792516</v>
      </c>
      <c r="G11">
        <f>(A11-335)+135.8+(Parametri!$A$5/2)</f>
        <v>79.800000000000011</v>
      </c>
      <c r="H11" s="3">
        <f>(E11-192)-('Dati (2)'!A11-Parametri!$A$11)+Parametri!$A$2</f>
        <v>1144.5</v>
      </c>
      <c r="I11">
        <f t="shared" si="2"/>
        <v>0.11547005383792516</v>
      </c>
      <c r="J11">
        <f>Parametri!$D$8</f>
        <v>0.11547005383792516</v>
      </c>
    </row>
    <row r="12" spans="1:10" x14ac:dyDescent="0.3">
      <c r="A12" s="2">
        <f t="shared" si="0"/>
        <v>280</v>
      </c>
      <c r="D12">
        <f t="shared" si="1"/>
        <v>3163</v>
      </c>
      <c r="E12" s="3">
        <v>1581.5</v>
      </c>
      <c r="F12">
        <f>IF(C12=0, Parametri!$D$8, ABS(B12-C12)/(2*SQRT(3)))</f>
        <v>0.11547005383792516</v>
      </c>
      <c r="G12">
        <f>(A12-335)+135.8+(Parametri!$A$5/2)</f>
        <v>80.800000000000011</v>
      </c>
      <c r="H12" s="3">
        <f>(E12-192)-('Dati (2)'!A12-Parametri!$A$11)+Parametri!$A$2</f>
        <v>1109.5</v>
      </c>
      <c r="I12">
        <f t="shared" si="2"/>
        <v>0.11547005383792516</v>
      </c>
      <c r="J12">
        <f>Parametri!$D$8</f>
        <v>0.11547005383792516</v>
      </c>
    </row>
    <row r="13" spans="1:10" x14ac:dyDescent="0.3">
      <c r="A13" s="2">
        <f t="shared" si="0"/>
        <v>281</v>
      </c>
      <c r="D13">
        <f t="shared" si="1"/>
        <v>3122</v>
      </c>
      <c r="E13" s="3">
        <v>1561</v>
      </c>
      <c r="F13">
        <f>IF(C13=0, Parametri!$D$8, ABS(B13-C13)/(2*SQRT(3)))</f>
        <v>0.11547005383792516</v>
      </c>
      <c r="G13">
        <f>(A13-335)+135.8+(Parametri!$A$5/2)</f>
        <v>81.800000000000011</v>
      </c>
      <c r="H13" s="3">
        <f>(E13-192)-('Dati (2)'!A13-Parametri!$A$11)+Parametri!$A$2</f>
        <v>1088</v>
      </c>
      <c r="I13">
        <f t="shared" si="2"/>
        <v>0.11547005383792516</v>
      </c>
      <c r="J13">
        <f>Parametri!$D$8</f>
        <v>0.11547005383792516</v>
      </c>
    </row>
    <row r="14" spans="1:10" x14ac:dyDescent="0.3">
      <c r="A14" s="2">
        <f t="shared" si="0"/>
        <v>282</v>
      </c>
      <c r="D14">
        <f t="shared" si="1"/>
        <v>3067</v>
      </c>
      <c r="E14" s="3">
        <v>1533.5</v>
      </c>
      <c r="F14">
        <f>IF(C14=0, Parametri!$D$8, ABS(B14-C14)/(2*SQRT(3)))</f>
        <v>0.11547005383792516</v>
      </c>
      <c r="G14">
        <f>(A14-335)+135.8+(Parametri!$A$5/2)</f>
        <v>82.800000000000011</v>
      </c>
      <c r="H14" s="3">
        <f>(E14-192)-('Dati (2)'!A14-Parametri!$A$11)+Parametri!$A$2</f>
        <v>1059.5</v>
      </c>
      <c r="I14">
        <f t="shared" si="2"/>
        <v>0.11547005383792516</v>
      </c>
      <c r="J14">
        <f>Parametri!$D$8</f>
        <v>0.11547005383792516</v>
      </c>
    </row>
    <row r="15" spans="1:10" x14ac:dyDescent="0.3">
      <c r="A15" s="2">
        <f t="shared" si="0"/>
        <v>283</v>
      </c>
      <c r="D15">
        <f t="shared" si="1"/>
        <v>3021</v>
      </c>
      <c r="E15" s="3">
        <v>1510.5</v>
      </c>
      <c r="F15">
        <f>IF(C15=0, Parametri!$D$8, ABS(B15-C15)/(2*SQRT(3)))</f>
        <v>0.11547005383792516</v>
      </c>
      <c r="G15">
        <f>(A15-335)+135.8+(Parametri!$A$5/2)</f>
        <v>83.800000000000011</v>
      </c>
      <c r="H15" s="3">
        <f>(E15-192)-('Dati (2)'!A15-Parametri!$A$11)+Parametri!$A$2</f>
        <v>1035.5</v>
      </c>
      <c r="I15">
        <f t="shared" si="2"/>
        <v>0.11547005383792516</v>
      </c>
      <c r="J15">
        <f>Parametri!$D$8</f>
        <v>0.11547005383792516</v>
      </c>
    </row>
    <row r="16" spans="1:10" x14ac:dyDescent="0.3">
      <c r="A16" s="2">
        <f t="shared" si="0"/>
        <v>284</v>
      </c>
      <c r="D16">
        <f t="shared" si="1"/>
        <v>2973</v>
      </c>
      <c r="E16" s="3">
        <v>1486.5</v>
      </c>
      <c r="F16">
        <f>IF(C16=0, Parametri!$D$8, ABS(B16-C16)/(2*SQRT(3)))</f>
        <v>0.11547005383792516</v>
      </c>
      <c r="G16">
        <f>(A16-335)+135.8+(Parametri!$A$5/2)</f>
        <v>84.800000000000011</v>
      </c>
      <c r="H16" s="3">
        <f>(E16-192)-('Dati (2)'!A16-Parametri!$A$11)+Parametri!$A$2</f>
        <v>1010.5</v>
      </c>
      <c r="I16">
        <f t="shared" si="2"/>
        <v>0.11547005383792516</v>
      </c>
      <c r="J16">
        <f>Parametri!$D$8</f>
        <v>0.11547005383792516</v>
      </c>
    </row>
    <row r="17" spans="1:10" x14ac:dyDescent="0.3">
      <c r="A17" s="2">
        <f t="shared" si="0"/>
        <v>285</v>
      </c>
      <c r="D17">
        <f t="shared" si="1"/>
        <v>2924</v>
      </c>
      <c r="E17" s="3">
        <v>1462</v>
      </c>
      <c r="F17">
        <f>IF(C17=0, Parametri!$D$8, ABS(B17-C17)/(2*SQRT(3)))</f>
        <v>0.11547005383792516</v>
      </c>
      <c r="G17">
        <f>(A17-335)+135.8+(Parametri!$A$5/2)</f>
        <v>85.800000000000011</v>
      </c>
      <c r="H17" s="3">
        <f>(E17-192)-('Dati (2)'!A17-Parametri!$A$11)+Parametri!$A$2</f>
        <v>985</v>
      </c>
      <c r="I17">
        <f t="shared" si="2"/>
        <v>0.11547005383792516</v>
      </c>
      <c r="J17">
        <f>Parametri!$D$8</f>
        <v>0.11547005383792516</v>
      </c>
    </row>
    <row r="18" spans="1:10" x14ac:dyDescent="0.3">
      <c r="A18" s="2">
        <f t="shared" si="0"/>
        <v>286</v>
      </c>
      <c r="D18">
        <f t="shared" si="1"/>
        <v>2885</v>
      </c>
      <c r="E18" s="3">
        <v>1442.5</v>
      </c>
      <c r="F18">
        <f>IF(C18=0, Parametri!$D$8, ABS(B18-C18)/(2*SQRT(3)))</f>
        <v>0.11547005383792516</v>
      </c>
      <c r="G18">
        <f>(A18-335)+135.8+(Parametri!$A$5/2)</f>
        <v>86.800000000000011</v>
      </c>
      <c r="H18" s="3">
        <f>(E18-192)-('Dati (2)'!A18-Parametri!$A$11)+Parametri!$A$2</f>
        <v>964.5</v>
      </c>
      <c r="I18">
        <f t="shared" si="2"/>
        <v>0.11547005383792516</v>
      </c>
      <c r="J18">
        <f>Parametri!$D$8</f>
        <v>0.11547005383792516</v>
      </c>
    </row>
    <row r="19" spans="1:10" x14ac:dyDescent="0.3">
      <c r="A19" s="2">
        <f t="shared" si="0"/>
        <v>287</v>
      </c>
      <c r="D19">
        <f t="shared" si="1"/>
        <v>2842</v>
      </c>
      <c r="E19" s="3">
        <v>1421</v>
      </c>
      <c r="F19">
        <f>IF(C19=0, Parametri!$D$8, ABS(B19-C19)/(2*SQRT(3)))</f>
        <v>0.11547005383792516</v>
      </c>
      <c r="G19">
        <f>(A19-335)+135.8+(Parametri!$A$5/2)</f>
        <v>87.800000000000011</v>
      </c>
      <c r="H19" s="3">
        <f>(E19-192)-('Dati (2)'!A19-Parametri!$A$11)+Parametri!$A$2</f>
        <v>942</v>
      </c>
      <c r="I19">
        <f t="shared" si="2"/>
        <v>0.11547005383792516</v>
      </c>
      <c r="J19">
        <f>Parametri!$D$8</f>
        <v>0.11547005383792516</v>
      </c>
    </row>
    <row r="20" spans="1:10" x14ac:dyDescent="0.3">
      <c r="A20" s="2">
        <f t="shared" si="0"/>
        <v>288</v>
      </c>
      <c r="D20">
        <f t="shared" si="1"/>
        <v>2817</v>
      </c>
      <c r="E20" s="3">
        <v>1408.5</v>
      </c>
      <c r="F20">
        <f>IF(C20=0, Parametri!$D$8, ABS(B20-C20)/(2*SQRT(3)))</f>
        <v>0.11547005383792516</v>
      </c>
      <c r="G20">
        <f>(A20-335)+135.8+(Parametri!$A$5/2)</f>
        <v>88.800000000000011</v>
      </c>
      <c r="H20" s="3">
        <f>(E20-192)-('Dati (2)'!A20-Parametri!$A$11)+Parametri!$A$2</f>
        <v>928.5</v>
      </c>
      <c r="I20">
        <f t="shared" si="2"/>
        <v>0.11547005383792516</v>
      </c>
      <c r="J20">
        <f>Parametri!$D$8</f>
        <v>0.11547005383792516</v>
      </c>
    </row>
    <row r="21" spans="1:10" x14ac:dyDescent="0.3">
      <c r="A21" s="2">
        <f t="shared" si="0"/>
        <v>289</v>
      </c>
      <c r="D21">
        <f t="shared" si="1"/>
        <v>2760</v>
      </c>
      <c r="E21" s="3">
        <v>1380</v>
      </c>
      <c r="F21">
        <f>IF(C21=0, Parametri!$D$8, ABS(B21-C21)/(2*SQRT(3)))</f>
        <v>0.11547005383792516</v>
      </c>
      <c r="G21">
        <f>(A21-335)+135.8+(Parametri!$A$5/2)</f>
        <v>89.800000000000011</v>
      </c>
      <c r="H21" s="3">
        <f>(E21-192)-('Dati (2)'!A21-Parametri!$A$11)+Parametri!$A$2</f>
        <v>899</v>
      </c>
      <c r="I21">
        <f t="shared" si="2"/>
        <v>0.11547005383792516</v>
      </c>
      <c r="J21">
        <f>Parametri!$D$8</f>
        <v>0.11547005383792516</v>
      </c>
    </row>
    <row r="22" spans="1:10" x14ac:dyDescent="0.3">
      <c r="A22" s="2">
        <f t="shared" si="0"/>
        <v>290</v>
      </c>
      <c r="D22">
        <f t="shared" si="1"/>
        <v>2747</v>
      </c>
      <c r="E22" s="3">
        <v>1373.5</v>
      </c>
      <c r="F22">
        <f>IF(C22=0, Parametri!$D$8, ABS(B22-C22)/(2*SQRT(3)))</f>
        <v>0.11547005383792516</v>
      </c>
      <c r="G22">
        <f>(A22-335)+135.8+(Parametri!$A$5/2)</f>
        <v>90.800000000000011</v>
      </c>
      <c r="H22" s="3">
        <f>(E22-192)-('Dati (2)'!A22-Parametri!$A$11)+Parametri!$A$2</f>
        <v>891.5</v>
      </c>
      <c r="I22">
        <f t="shared" si="2"/>
        <v>0.11547005383792516</v>
      </c>
      <c r="J22">
        <f>Parametri!$D$8</f>
        <v>0.11547005383792516</v>
      </c>
    </row>
    <row r="23" spans="1:10" x14ac:dyDescent="0.3">
      <c r="A23" s="2">
        <f t="shared" si="0"/>
        <v>291</v>
      </c>
      <c r="D23">
        <f t="shared" si="1"/>
        <v>2698</v>
      </c>
      <c r="E23" s="3">
        <v>1349</v>
      </c>
      <c r="F23">
        <f>IF(C23=0, Parametri!$D$8, ABS(B23-C23)/(2*SQRT(3)))</f>
        <v>0.11547005383792516</v>
      </c>
      <c r="G23">
        <f>(A23-335)+135.8+(Parametri!$A$5/2)</f>
        <v>91.800000000000011</v>
      </c>
      <c r="H23" s="3">
        <f>(E23-192)-('Dati (2)'!A23-Parametri!$A$11)+Parametri!$A$2</f>
        <v>866</v>
      </c>
      <c r="I23">
        <f t="shared" si="2"/>
        <v>0.11547005383792516</v>
      </c>
      <c r="J23">
        <f>Parametri!$D$8</f>
        <v>0.11547005383792516</v>
      </c>
    </row>
    <row r="24" spans="1:10" x14ac:dyDescent="0.3">
      <c r="A24" s="2">
        <f t="shared" si="0"/>
        <v>292</v>
      </c>
      <c r="D24">
        <f t="shared" si="1"/>
        <v>2667</v>
      </c>
      <c r="E24" s="3">
        <v>1333.5</v>
      </c>
      <c r="F24">
        <f>IF(C24=0, Parametri!$D$8, ABS(B24-C24)/(2*SQRT(3)))</f>
        <v>0.11547005383792516</v>
      </c>
      <c r="G24">
        <f>(A24-335)+135.8+(Parametri!$A$5/2)</f>
        <v>92.800000000000011</v>
      </c>
      <c r="H24" s="3">
        <f>(E24-192)-('Dati (2)'!A24-Parametri!$A$11)+Parametri!$A$2</f>
        <v>849.5</v>
      </c>
      <c r="I24">
        <f t="shared" si="2"/>
        <v>0.11547005383792516</v>
      </c>
      <c r="J24">
        <f>Parametri!$D$8</f>
        <v>0.11547005383792516</v>
      </c>
    </row>
    <row r="25" spans="1:10" x14ac:dyDescent="0.3">
      <c r="A25" s="2">
        <f t="shared" si="0"/>
        <v>293</v>
      </c>
      <c r="D25">
        <f t="shared" si="1"/>
        <v>2625</v>
      </c>
      <c r="E25" s="3">
        <v>1312.5</v>
      </c>
      <c r="F25">
        <f>IF(C25=0, Parametri!$D$8, ABS(B25-C25)/(2*SQRT(3)))</f>
        <v>0.11547005383792516</v>
      </c>
      <c r="G25">
        <f>(A25-335)+135.8+(Parametri!$A$5/2)</f>
        <v>93.800000000000011</v>
      </c>
      <c r="H25" s="3">
        <f>(E25-192)-('Dati (2)'!A25-Parametri!$A$11)+Parametri!$A$2</f>
        <v>827.5</v>
      </c>
      <c r="I25">
        <f t="shared" si="2"/>
        <v>0.11547005383792516</v>
      </c>
      <c r="J25">
        <f>Parametri!$D$8</f>
        <v>0.11547005383792516</v>
      </c>
    </row>
    <row r="26" spans="1:10" x14ac:dyDescent="0.3">
      <c r="A26" s="2">
        <f t="shared" si="0"/>
        <v>294</v>
      </c>
      <c r="D26">
        <f t="shared" si="1"/>
        <v>2608</v>
      </c>
      <c r="E26" s="3">
        <v>1304</v>
      </c>
      <c r="F26">
        <f>IF(C26=0, Parametri!$D$8, ABS(B26-C26)/(2*SQRT(3)))</f>
        <v>0.11547005383792516</v>
      </c>
      <c r="G26">
        <f>(A26-335)+135.8+(Parametri!$A$5/2)</f>
        <v>94.800000000000011</v>
      </c>
      <c r="H26" s="3">
        <f>(E26-192)-('Dati (2)'!A26-Parametri!$A$11)+Parametri!$A$2</f>
        <v>818</v>
      </c>
      <c r="I26">
        <f t="shared" si="2"/>
        <v>0.11547005383792516</v>
      </c>
      <c r="J26">
        <f>Parametri!$D$8</f>
        <v>0.11547005383792516</v>
      </c>
    </row>
    <row r="27" spans="1:10" x14ac:dyDescent="0.3">
      <c r="A27" s="2">
        <f t="shared" si="0"/>
        <v>295</v>
      </c>
      <c r="D27">
        <f t="shared" si="1"/>
        <v>2586</v>
      </c>
      <c r="E27" s="3">
        <v>1293</v>
      </c>
      <c r="F27">
        <f>IF(C27=0, Parametri!$D$8, ABS(B27-C27)/(2*SQRT(3)))</f>
        <v>0.11547005383792516</v>
      </c>
      <c r="G27">
        <f>(A27-335)+135.8+(Parametri!$A$5/2)</f>
        <v>95.800000000000011</v>
      </c>
      <c r="H27" s="3">
        <f>(E27-192)-('Dati (2)'!A27-Parametri!$A$11)+Parametri!$A$2</f>
        <v>806</v>
      </c>
      <c r="I27">
        <f t="shared" si="2"/>
        <v>0.11547005383792516</v>
      </c>
      <c r="J27">
        <f>Parametri!$D$8</f>
        <v>0.11547005383792516</v>
      </c>
    </row>
    <row r="28" spans="1:10" x14ac:dyDescent="0.3">
      <c r="A28" s="2">
        <f t="shared" si="0"/>
        <v>296</v>
      </c>
      <c r="D28">
        <f t="shared" si="1"/>
        <v>2548</v>
      </c>
      <c r="E28" s="3">
        <v>1274</v>
      </c>
      <c r="F28">
        <f>IF(C28=0, Parametri!$D$8, ABS(B28-C28)/(2*SQRT(3)))</f>
        <v>0.11547005383792516</v>
      </c>
      <c r="G28">
        <f>(A28-335)+135.8+(Parametri!$A$5/2)</f>
        <v>96.800000000000011</v>
      </c>
      <c r="H28" s="3">
        <f>(E28-192)-('Dati (2)'!A28-Parametri!$A$11)+Parametri!$A$2</f>
        <v>786</v>
      </c>
      <c r="I28">
        <f t="shared" si="2"/>
        <v>0.11547005383792516</v>
      </c>
      <c r="J28">
        <f>Parametri!$D$8</f>
        <v>0.11547005383792516</v>
      </c>
    </row>
    <row r="29" spans="1:10" x14ac:dyDescent="0.3">
      <c r="A29" s="2">
        <f t="shared" si="0"/>
        <v>297</v>
      </c>
      <c r="D29">
        <f t="shared" si="1"/>
        <v>2520</v>
      </c>
      <c r="E29" s="3">
        <v>1260</v>
      </c>
      <c r="F29">
        <f>IF(C29=0, Parametri!$D$8, ABS(B29-C29)/(2*SQRT(3)))</f>
        <v>0.11547005383792516</v>
      </c>
      <c r="G29">
        <f>(A29-335)+135.8+(Parametri!$A$5/2)</f>
        <v>97.800000000000011</v>
      </c>
      <c r="H29" s="3">
        <f>(E29-192)-('Dati (2)'!A29-Parametri!$A$11)+Parametri!$A$2</f>
        <v>771</v>
      </c>
      <c r="I29">
        <f t="shared" si="2"/>
        <v>0.11547005383792516</v>
      </c>
      <c r="J29">
        <f>Parametri!$D$8</f>
        <v>0.11547005383792516</v>
      </c>
    </row>
    <row r="30" spans="1:10" x14ac:dyDescent="0.3">
      <c r="A30" s="2">
        <f t="shared" si="0"/>
        <v>298</v>
      </c>
      <c r="D30">
        <f t="shared" si="1"/>
        <v>2491</v>
      </c>
      <c r="E30" s="3">
        <v>1245.5</v>
      </c>
      <c r="F30">
        <f>IF(C30=0, Parametri!$D$8, ABS(B30-C30)/(2*SQRT(3)))</f>
        <v>0.11547005383792516</v>
      </c>
      <c r="G30">
        <f>(A30-335)+135.8+(Parametri!$A$5/2)</f>
        <v>98.800000000000011</v>
      </c>
      <c r="H30" s="3">
        <f>(E30-192)-('Dati (2)'!A30-Parametri!$A$11)+Parametri!$A$2</f>
        <v>755.5</v>
      </c>
      <c r="I30">
        <f t="shared" si="2"/>
        <v>0.11547005383792516</v>
      </c>
      <c r="J30">
        <f>Parametri!$D$8</f>
        <v>0.11547005383792516</v>
      </c>
    </row>
    <row r="31" spans="1:10" x14ac:dyDescent="0.3">
      <c r="A31" s="2">
        <f t="shared" si="0"/>
        <v>299</v>
      </c>
      <c r="D31">
        <f t="shared" si="1"/>
        <v>2464</v>
      </c>
      <c r="E31" s="3">
        <v>1232</v>
      </c>
      <c r="F31">
        <f>IF(C31=0, Parametri!$D$8, ABS(B31-C31)/(2*SQRT(3)))</f>
        <v>0.11547005383792516</v>
      </c>
      <c r="G31">
        <f>(A31-335)+135.8+(Parametri!$A$5/2)</f>
        <v>99.800000000000011</v>
      </c>
      <c r="H31" s="3">
        <f>(E31-192)-('Dati (2)'!A31-Parametri!$A$11)+Parametri!$A$2</f>
        <v>741</v>
      </c>
      <c r="I31">
        <f t="shared" si="2"/>
        <v>0.11547005383792516</v>
      </c>
      <c r="J31">
        <f>Parametri!$D$8</f>
        <v>0.11547005383792516</v>
      </c>
    </row>
    <row r="32" spans="1:10" x14ac:dyDescent="0.3">
      <c r="A32" s="2">
        <f t="shared" si="0"/>
        <v>300</v>
      </c>
      <c r="D32">
        <f t="shared" si="1"/>
        <v>2427</v>
      </c>
      <c r="E32" s="3">
        <v>1213.5</v>
      </c>
      <c r="F32">
        <f>IF(C32=0, Parametri!$D$8, ABS(B32-C32)/(2*SQRT(3)))</f>
        <v>0.11547005383792516</v>
      </c>
      <c r="G32">
        <f>(A32-335)+135.8+(Parametri!$A$5/2)</f>
        <v>100.80000000000001</v>
      </c>
      <c r="H32" s="3">
        <f>(E32-192)-('Dati (2)'!A32-Parametri!$A$11)+Parametri!$A$2</f>
        <v>721.5</v>
      </c>
      <c r="I32">
        <f t="shared" si="2"/>
        <v>0.11547005383792516</v>
      </c>
      <c r="J32">
        <f>Parametri!$D$8</f>
        <v>0.11547005383792516</v>
      </c>
    </row>
    <row r="33" spans="1:10" x14ac:dyDescent="0.3">
      <c r="A33" s="2">
        <f t="shared" si="0"/>
        <v>301</v>
      </c>
      <c r="D33">
        <f t="shared" si="1"/>
        <v>2419</v>
      </c>
      <c r="E33" s="3">
        <v>1209.5</v>
      </c>
      <c r="F33">
        <f>IF(C33=0, Parametri!$D$8, ABS(B33-C33)/(2*SQRT(3)))</f>
        <v>0.11547005383792516</v>
      </c>
      <c r="G33">
        <f>(A33-335)+135.8+(Parametri!$A$5/2)</f>
        <v>101.80000000000001</v>
      </c>
      <c r="H33" s="3">
        <f>(E33-192)-('Dati (2)'!A33-Parametri!$A$11)+Parametri!$A$2</f>
        <v>716.5</v>
      </c>
      <c r="I33">
        <f t="shared" si="2"/>
        <v>0.11547005383792516</v>
      </c>
      <c r="J33">
        <f>Parametri!$D$8</f>
        <v>0.11547005383792516</v>
      </c>
    </row>
    <row r="34" spans="1:10" x14ac:dyDescent="0.3">
      <c r="A34" s="2">
        <f t="shared" si="0"/>
        <v>302</v>
      </c>
      <c r="D34">
        <f t="shared" si="1"/>
        <v>2398</v>
      </c>
      <c r="E34" s="3">
        <v>1199</v>
      </c>
      <c r="F34">
        <f>IF(C34=0, Parametri!$D$8, ABS(B34-C34)/(2*SQRT(3)))</f>
        <v>0.11547005383792516</v>
      </c>
      <c r="G34">
        <f>(A34-335)+135.8+(Parametri!$A$5/2)</f>
        <v>102.80000000000001</v>
      </c>
      <c r="H34" s="3">
        <f>(E34-192)-('Dati (2)'!A34-Parametri!$A$11)+Parametri!$A$2</f>
        <v>705</v>
      </c>
      <c r="I34">
        <f t="shared" si="2"/>
        <v>0.11547005383792516</v>
      </c>
      <c r="J34">
        <f>Parametri!$D$8</f>
        <v>0.11547005383792516</v>
      </c>
    </row>
    <row r="35" spans="1:10" x14ac:dyDescent="0.3">
      <c r="A35" s="2">
        <f t="shared" si="0"/>
        <v>303</v>
      </c>
      <c r="D35">
        <f t="shared" si="1"/>
        <v>2376</v>
      </c>
      <c r="E35" s="3">
        <v>1188</v>
      </c>
      <c r="F35">
        <f>IF(C35=0, Parametri!$D$8, ABS(B35-C35)/(2*SQRT(3)))</f>
        <v>0.11547005383792516</v>
      </c>
      <c r="G35">
        <f>(A35-335)+135.8+(Parametri!$A$5/2)</f>
        <v>103.80000000000001</v>
      </c>
      <c r="H35" s="3">
        <f>(E35-192)-('Dati (2)'!A35-Parametri!$A$11)+Parametri!$A$2</f>
        <v>693</v>
      </c>
      <c r="I35">
        <f t="shared" si="2"/>
        <v>0.11547005383792516</v>
      </c>
      <c r="J35">
        <f>Parametri!$D$8</f>
        <v>0.11547005383792516</v>
      </c>
    </row>
    <row r="36" spans="1:10" x14ac:dyDescent="0.3">
      <c r="A36" s="2">
        <f t="shared" si="0"/>
        <v>304</v>
      </c>
      <c r="D36">
        <f t="shared" si="1"/>
        <v>2357</v>
      </c>
      <c r="E36" s="3">
        <v>1178.5</v>
      </c>
      <c r="F36">
        <f>IF(C36=0, Parametri!$D$8, ABS(B36-C36)/(2*SQRT(3)))</f>
        <v>0.11547005383792516</v>
      </c>
      <c r="G36">
        <f>(A36-335)+135.8+(Parametri!$A$5/2)</f>
        <v>104.80000000000001</v>
      </c>
      <c r="H36" s="3">
        <f>(E36-192)-('Dati (2)'!A36-Parametri!$A$11)+Parametri!$A$2</f>
        <v>682.5</v>
      </c>
      <c r="I36">
        <f t="shared" si="2"/>
        <v>0.11547005383792516</v>
      </c>
      <c r="J36">
        <f>Parametri!$D$8</f>
        <v>0.11547005383792516</v>
      </c>
    </row>
    <row r="37" spans="1:10" x14ac:dyDescent="0.3">
      <c r="A37" s="2">
        <f t="shared" si="0"/>
        <v>305</v>
      </c>
      <c r="D37">
        <f t="shared" si="1"/>
        <v>2333</v>
      </c>
      <c r="E37" s="3">
        <v>1166.5</v>
      </c>
      <c r="F37">
        <f>IF(C37=0, Parametri!$D$8, ABS(B37-C37)/(2*SQRT(3)))</f>
        <v>0.11547005383792516</v>
      </c>
      <c r="G37">
        <f>(A37-335)+135.8+(Parametri!$A$5/2)</f>
        <v>105.80000000000001</v>
      </c>
      <c r="H37" s="3">
        <f>(E37-192)-('Dati (2)'!A37-Parametri!$A$11)+Parametri!$A$2</f>
        <v>669.5</v>
      </c>
      <c r="I37">
        <f t="shared" si="2"/>
        <v>0.11547005383792516</v>
      </c>
      <c r="J37">
        <f>Parametri!$D$8</f>
        <v>0.11547005383792516</v>
      </c>
    </row>
    <row r="38" spans="1:10" x14ac:dyDescent="0.3">
      <c r="A38" s="2">
        <f t="shared" si="0"/>
        <v>306</v>
      </c>
      <c r="D38">
        <f t="shared" si="1"/>
        <v>2311</v>
      </c>
      <c r="E38" s="3">
        <v>1155.5</v>
      </c>
      <c r="F38">
        <f>IF(C38=0, Parametri!$D$8, ABS(B38-C38)/(2*SQRT(3)))</f>
        <v>0.11547005383792516</v>
      </c>
      <c r="G38">
        <f>(A38-335)+135.8+(Parametri!$A$5/2)</f>
        <v>106.80000000000001</v>
      </c>
      <c r="H38" s="3">
        <f>(E38-192)-('Dati (2)'!A38-Parametri!$A$11)+Parametri!$A$2</f>
        <v>657.5</v>
      </c>
      <c r="I38">
        <f t="shared" si="2"/>
        <v>0.11547005383792516</v>
      </c>
      <c r="J38">
        <f>Parametri!$D$8</f>
        <v>0.11547005383792516</v>
      </c>
    </row>
    <row r="39" spans="1:10" x14ac:dyDescent="0.3">
      <c r="A39" s="2">
        <f t="shared" si="0"/>
        <v>307</v>
      </c>
      <c r="D39">
        <f t="shared" si="1"/>
        <v>2282</v>
      </c>
      <c r="E39" s="3">
        <v>1141</v>
      </c>
      <c r="F39">
        <f>IF(C39=0, Parametri!$D$8, ABS(B39-C39)/(2*SQRT(3)))</f>
        <v>0.11547005383792516</v>
      </c>
      <c r="G39">
        <f>(A39-335)+135.8+(Parametri!$A$5/2)</f>
        <v>107.80000000000001</v>
      </c>
      <c r="H39" s="3">
        <f>(E39-192)-('Dati (2)'!A39-Parametri!$A$11)+Parametri!$A$2</f>
        <v>642</v>
      </c>
      <c r="I39">
        <f t="shared" si="2"/>
        <v>0.11547005383792516</v>
      </c>
      <c r="J39">
        <f>Parametri!$D$8</f>
        <v>0.11547005383792516</v>
      </c>
    </row>
    <row r="40" spans="1:10" x14ac:dyDescent="0.3">
      <c r="A40" s="2">
        <f t="shared" si="0"/>
        <v>308</v>
      </c>
      <c r="D40">
        <f t="shared" si="1"/>
        <v>2277</v>
      </c>
      <c r="E40" s="3">
        <v>1138.5</v>
      </c>
      <c r="F40">
        <f>IF(C40=0, Parametri!$D$8, ABS(B40-C40)/(2*SQRT(3)))</f>
        <v>0.11547005383792516</v>
      </c>
      <c r="G40">
        <f>(A40-335)+135.8+(Parametri!$A$5/2)</f>
        <v>108.80000000000001</v>
      </c>
      <c r="H40" s="3">
        <f>(E40-192)-('Dati (2)'!A40-Parametri!$A$11)+Parametri!$A$2</f>
        <v>638.5</v>
      </c>
      <c r="I40">
        <f t="shared" si="2"/>
        <v>0.11547005383792516</v>
      </c>
      <c r="J40">
        <f>Parametri!$D$8</f>
        <v>0.11547005383792516</v>
      </c>
    </row>
    <row r="41" spans="1:10" x14ac:dyDescent="0.3">
      <c r="A41" s="2">
        <f t="shared" si="0"/>
        <v>309</v>
      </c>
      <c r="D41">
        <f t="shared" si="1"/>
        <v>2256</v>
      </c>
      <c r="E41" s="3">
        <v>1128</v>
      </c>
      <c r="F41">
        <f>IF(C41=0, Parametri!$D$8, ABS(B41-C41)/(2*SQRT(3)))</f>
        <v>0.11547005383792516</v>
      </c>
      <c r="G41">
        <f>(A41-335)+135.8+(Parametri!$A$5/2)</f>
        <v>109.80000000000001</v>
      </c>
      <c r="H41" s="3">
        <f>(E41-192)-('Dati (2)'!A41-Parametri!$A$11)+Parametri!$A$2</f>
        <v>627</v>
      </c>
      <c r="I41">
        <f t="shared" si="2"/>
        <v>0.11547005383792516</v>
      </c>
      <c r="J41">
        <f>Parametri!$D$8</f>
        <v>0.11547005383792516</v>
      </c>
    </row>
    <row r="42" spans="1:10" x14ac:dyDescent="0.3">
      <c r="A42" s="2">
        <f t="shared" si="0"/>
        <v>310</v>
      </c>
      <c r="D42">
        <f t="shared" si="1"/>
        <v>2232</v>
      </c>
      <c r="E42" s="3">
        <v>1116</v>
      </c>
      <c r="F42">
        <f>IF(C42=0, Parametri!$D$8, ABS(B42-C42)/(2*SQRT(3)))</f>
        <v>0.11547005383792516</v>
      </c>
      <c r="G42">
        <f>(A42-335)+135.8+(Parametri!$A$5/2)</f>
        <v>110.80000000000001</v>
      </c>
      <c r="H42" s="3">
        <f>(E42-192)-('Dati (2)'!A42-Parametri!$A$11)+Parametri!$A$2</f>
        <v>614</v>
      </c>
      <c r="I42">
        <f t="shared" si="2"/>
        <v>0.11547005383792516</v>
      </c>
      <c r="J42">
        <f>Parametri!$D$8</f>
        <v>0.11547005383792516</v>
      </c>
    </row>
    <row r="43" spans="1:10" x14ac:dyDescent="0.3">
      <c r="A43" s="2">
        <f t="shared" si="0"/>
        <v>311</v>
      </c>
      <c r="D43">
        <f t="shared" si="1"/>
        <v>2220</v>
      </c>
      <c r="E43" s="3">
        <v>1110</v>
      </c>
      <c r="F43">
        <f>IF(C43=0, Parametri!$D$8, ABS(B43-C43)/(2*SQRT(3)))</f>
        <v>0.11547005383792516</v>
      </c>
      <c r="G43">
        <f>(A43-335)+135.8+(Parametri!$A$5/2)</f>
        <v>111.80000000000001</v>
      </c>
      <c r="H43" s="3">
        <f>(E43-192)-('Dati (2)'!A43-Parametri!$A$11)+Parametri!$A$2</f>
        <v>607</v>
      </c>
      <c r="I43">
        <f t="shared" si="2"/>
        <v>0.11547005383792516</v>
      </c>
      <c r="J43">
        <f>Parametri!$D$8</f>
        <v>0.11547005383792516</v>
      </c>
    </row>
    <row r="44" spans="1:10" x14ac:dyDescent="0.3">
      <c r="A44" s="2">
        <f t="shared" si="0"/>
        <v>312</v>
      </c>
      <c r="D44">
        <f t="shared" si="1"/>
        <v>2195</v>
      </c>
      <c r="E44" s="3">
        <v>1097.5</v>
      </c>
      <c r="F44">
        <f>IF(C44=0, Parametri!$D$8, ABS(B44-C44)/(2*SQRT(3)))</f>
        <v>0.11547005383792516</v>
      </c>
      <c r="G44">
        <f>(A44-335)+135.8+(Parametri!$A$5/2)</f>
        <v>112.80000000000001</v>
      </c>
      <c r="H44" s="3">
        <f>(E44-192)-('Dati (2)'!A44-Parametri!$A$11)+Parametri!$A$2</f>
        <v>593.5</v>
      </c>
      <c r="I44">
        <f t="shared" si="2"/>
        <v>0.11547005383792516</v>
      </c>
      <c r="J44">
        <f>Parametri!$D$8</f>
        <v>0.11547005383792516</v>
      </c>
    </row>
    <row r="45" spans="1:10" x14ac:dyDescent="0.3">
      <c r="A45" s="2">
        <f t="shared" si="0"/>
        <v>313</v>
      </c>
      <c r="D45">
        <f t="shared" si="1"/>
        <v>2185</v>
      </c>
      <c r="E45" s="3">
        <v>1092.5</v>
      </c>
      <c r="F45">
        <f>IF(C45=0, Parametri!$D$8, ABS(B45-C45)/(2*SQRT(3)))</f>
        <v>0.11547005383792516</v>
      </c>
      <c r="G45">
        <f>(A45-335)+135.8+(Parametri!$A$5/2)</f>
        <v>113.80000000000001</v>
      </c>
      <c r="H45" s="3">
        <f>(E45-192)-('Dati (2)'!A45-Parametri!$A$11)+Parametri!$A$2</f>
        <v>587.5</v>
      </c>
      <c r="I45">
        <f t="shared" si="2"/>
        <v>0.11547005383792516</v>
      </c>
      <c r="J45">
        <f>Parametri!$D$8</f>
        <v>0.11547005383792516</v>
      </c>
    </row>
    <row r="46" spans="1:10" x14ac:dyDescent="0.3">
      <c r="A46" s="2">
        <f t="shared" si="0"/>
        <v>314</v>
      </c>
      <c r="D46">
        <f t="shared" si="1"/>
        <v>2173</v>
      </c>
      <c r="E46" s="3">
        <v>1086.5</v>
      </c>
      <c r="F46">
        <f>IF(C46=0, Parametri!$D$8, ABS(B46-C46)/(2*SQRT(3)))</f>
        <v>0.11547005383792516</v>
      </c>
      <c r="G46">
        <f>(A46-335)+135.8+(Parametri!$A$5/2)</f>
        <v>114.80000000000001</v>
      </c>
      <c r="H46" s="3">
        <f>(E46-192)-('Dati (2)'!A46-Parametri!$A$11)+Parametri!$A$2</f>
        <v>580.5</v>
      </c>
      <c r="I46">
        <f t="shared" si="2"/>
        <v>0.11547005383792516</v>
      </c>
      <c r="J46">
        <f>Parametri!$D$8</f>
        <v>0.11547005383792516</v>
      </c>
    </row>
    <row r="47" spans="1:10" x14ac:dyDescent="0.3">
      <c r="A47" s="2">
        <f t="shared" si="0"/>
        <v>315</v>
      </c>
      <c r="D47">
        <f t="shared" si="1"/>
        <v>2150</v>
      </c>
      <c r="E47" s="3">
        <v>1075</v>
      </c>
      <c r="F47">
        <f>IF(C47=0, Parametri!$D$8, ABS(B47-C47)/(2*SQRT(3)))</f>
        <v>0.11547005383792516</v>
      </c>
      <c r="G47">
        <f>(A47-335)+135.8+(Parametri!$A$5/2)</f>
        <v>115.80000000000001</v>
      </c>
      <c r="H47" s="3">
        <f>(E47-192)-('Dati (2)'!A47-Parametri!$A$11)+Parametri!$A$2</f>
        <v>568</v>
      </c>
      <c r="I47">
        <f t="shared" si="2"/>
        <v>0.11547005383792516</v>
      </c>
      <c r="J47">
        <f>Parametri!$D$8</f>
        <v>0.11547005383792516</v>
      </c>
    </row>
    <row r="48" spans="1:10" x14ac:dyDescent="0.3">
      <c r="A48" s="2">
        <f>A47+2</f>
        <v>317</v>
      </c>
      <c r="D48">
        <f t="shared" si="1"/>
        <v>2126</v>
      </c>
      <c r="E48" s="3">
        <v>1063</v>
      </c>
      <c r="F48">
        <f>IF(C48=0, Parametri!$D$8, ABS(B48-C48)/(2*SQRT(3)))</f>
        <v>0.11547005383792516</v>
      </c>
      <c r="G48">
        <f>(A48-335)+135.8+(Parametri!$A$5/2)</f>
        <v>117.80000000000001</v>
      </c>
      <c r="H48" s="3">
        <f>(E48-192)-('Dati (2)'!A48-Parametri!$A$11)+Parametri!$A$2</f>
        <v>554</v>
      </c>
      <c r="I48">
        <f t="shared" si="2"/>
        <v>0.11547005383792516</v>
      </c>
      <c r="J48">
        <f>Parametri!$D$8</f>
        <v>0.11547005383792516</v>
      </c>
    </row>
    <row r="49" spans="1:10" x14ac:dyDescent="0.3">
      <c r="A49" s="2">
        <f t="shared" ref="A49:A65" si="3">A48+2</f>
        <v>319</v>
      </c>
      <c r="D49">
        <f t="shared" si="1"/>
        <v>2085</v>
      </c>
      <c r="E49" s="3">
        <v>1042.5</v>
      </c>
      <c r="F49">
        <f>IF(C49=0, Parametri!$D$8, ABS(B49-C49)/(2*SQRT(3)))</f>
        <v>0.11547005383792516</v>
      </c>
      <c r="G49">
        <f>(A49-335)+135.8+(Parametri!$A$5/2)</f>
        <v>119.80000000000001</v>
      </c>
      <c r="H49" s="3">
        <f>(E49-192)-('Dati (2)'!A49-Parametri!$A$11)+Parametri!$A$2</f>
        <v>531.5</v>
      </c>
      <c r="I49">
        <f t="shared" si="2"/>
        <v>0.11547005383792516</v>
      </c>
      <c r="J49">
        <f>Parametri!$D$8</f>
        <v>0.11547005383792516</v>
      </c>
    </row>
    <row r="50" spans="1:10" x14ac:dyDescent="0.3">
      <c r="A50" s="2">
        <f t="shared" si="3"/>
        <v>321</v>
      </c>
      <c r="D50">
        <f t="shared" si="1"/>
        <v>2068</v>
      </c>
      <c r="E50" s="3">
        <v>1034</v>
      </c>
      <c r="F50">
        <f>IF(C50=0, Parametri!$D$8, ABS(B50-C50)/(2*SQRT(3)))</f>
        <v>0.11547005383792516</v>
      </c>
      <c r="G50">
        <f>(A50-335)+135.8+(Parametri!$A$5/2)</f>
        <v>121.80000000000001</v>
      </c>
      <c r="H50" s="3">
        <f>(E50-192)-('Dati (2)'!A50-Parametri!$A$11)+Parametri!$A$2</f>
        <v>521</v>
      </c>
      <c r="I50">
        <f t="shared" si="2"/>
        <v>0.11547005383792516</v>
      </c>
      <c r="J50">
        <f>Parametri!$D$8</f>
        <v>0.11547005383792516</v>
      </c>
    </row>
    <row r="51" spans="1:10" x14ac:dyDescent="0.3">
      <c r="A51" s="2">
        <f t="shared" si="3"/>
        <v>323</v>
      </c>
      <c r="D51">
        <f t="shared" si="1"/>
        <v>2055</v>
      </c>
      <c r="E51" s="3">
        <v>1027.5</v>
      </c>
      <c r="F51">
        <f>IF(C51=0, Parametri!$D$8, ABS(B51-C51)/(2*SQRT(3)))</f>
        <v>0.11547005383792516</v>
      </c>
      <c r="G51">
        <f>(A51-335)+135.8+(Parametri!$A$5/2)</f>
        <v>123.80000000000001</v>
      </c>
      <c r="H51" s="3">
        <f>(E51-192)-('Dati (2)'!A51-Parametri!$A$11)+Parametri!$A$2</f>
        <v>512.5</v>
      </c>
      <c r="I51">
        <f t="shared" si="2"/>
        <v>0.11547005383792516</v>
      </c>
      <c r="J51">
        <f>Parametri!$D$8</f>
        <v>0.11547005383792516</v>
      </c>
    </row>
    <row r="52" spans="1:10" x14ac:dyDescent="0.3">
      <c r="A52" s="2">
        <f t="shared" si="3"/>
        <v>325</v>
      </c>
      <c r="D52">
        <f t="shared" si="1"/>
        <v>2020</v>
      </c>
      <c r="E52" s="3">
        <v>1010</v>
      </c>
      <c r="F52">
        <f>IF(C52=0, Parametri!$D$8, ABS(B52-C52)/(2*SQRT(3)))</f>
        <v>0.11547005383792516</v>
      </c>
      <c r="G52">
        <f>(A52-335)+135.8+(Parametri!$A$5/2)</f>
        <v>125.80000000000001</v>
      </c>
      <c r="H52" s="3">
        <f>(E52-192)-('Dati (2)'!A52-Parametri!$A$11)+Parametri!$A$2</f>
        <v>493</v>
      </c>
      <c r="I52">
        <f t="shared" si="2"/>
        <v>0.11547005383792516</v>
      </c>
      <c r="J52">
        <f>Parametri!$D$8</f>
        <v>0.11547005383792516</v>
      </c>
    </row>
    <row r="53" spans="1:10" x14ac:dyDescent="0.3">
      <c r="A53" s="2">
        <f t="shared" si="3"/>
        <v>327</v>
      </c>
      <c r="D53">
        <f t="shared" si="1"/>
        <v>1999</v>
      </c>
      <c r="E53" s="3">
        <v>999.5</v>
      </c>
      <c r="F53">
        <f>IF(C53=0, Parametri!$D$8, ABS(B53-C53)/(2*SQRT(3)))</f>
        <v>0.11547005383792516</v>
      </c>
      <c r="G53">
        <f>(A53-335)+135.8+(Parametri!$A$5/2)</f>
        <v>127.80000000000001</v>
      </c>
      <c r="H53" s="3">
        <f>(E53-192)-('Dati (2)'!A53-Parametri!$A$11)+Parametri!$A$2</f>
        <v>480.5</v>
      </c>
      <c r="I53">
        <f t="shared" si="2"/>
        <v>0.11547005383792516</v>
      </c>
      <c r="J53">
        <f>Parametri!$D$8</f>
        <v>0.11547005383792516</v>
      </c>
    </row>
    <row r="54" spans="1:10" x14ac:dyDescent="0.3">
      <c r="A54" s="2">
        <f t="shared" si="3"/>
        <v>329</v>
      </c>
      <c r="D54">
        <f t="shared" si="1"/>
        <v>1975</v>
      </c>
      <c r="E54" s="3">
        <v>987.5</v>
      </c>
      <c r="F54">
        <f>IF(C54=0, Parametri!$D$8, ABS(B54-C54)/(2*SQRT(3)))</f>
        <v>0.11547005383792516</v>
      </c>
      <c r="G54">
        <f>(A54-335)+135.8+(Parametri!$A$5/2)</f>
        <v>129.80000000000001</v>
      </c>
      <c r="H54" s="3">
        <f>(E54-192)-('Dati (2)'!A54-Parametri!$A$11)+Parametri!$A$2</f>
        <v>466.5</v>
      </c>
      <c r="I54">
        <f t="shared" si="2"/>
        <v>0.11547005383792516</v>
      </c>
      <c r="J54">
        <f>Parametri!$D$8</f>
        <v>0.11547005383792516</v>
      </c>
    </row>
    <row r="55" spans="1:10" x14ac:dyDescent="0.3">
      <c r="A55" s="2">
        <f t="shared" si="3"/>
        <v>331</v>
      </c>
      <c r="D55">
        <f t="shared" si="1"/>
        <v>1961</v>
      </c>
      <c r="E55" s="3">
        <v>980.5</v>
      </c>
      <c r="F55">
        <f>IF(C55=0, Parametri!$D$8, ABS(B55-C55)/(2*SQRT(3)))</f>
        <v>0.11547005383792516</v>
      </c>
      <c r="G55">
        <f>(A55-335)+135.8+(Parametri!$A$5/2)</f>
        <v>131.80000000000001</v>
      </c>
      <c r="H55" s="3">
        <f>(E55-192)-('Dati (2)'!A55-Parametri!$A$11)+Parametri!$A$2</f>
        <v>457.5</v>
      </c>
      <c r="I55">
        <f t="shared" si="2"/>
        <v>0.11547005383792516</v>
      </c>
      <c r="J55">
        <f>Parametri!$D$8</f>
        <v>0.11547005383792516</v>
      </c>
    </row>
    <row r="56" spans="1:10" x14ac:dyDescent="0.3">
      <c r="A56" s="2">
        <f t="shared" si="3"/>
        <v>333</v>
      </c>
      <c r="D56">
        <f t="shared" si="1"/>
        <v>1940</v>
      </c>
      <c r="E56" s="3">
        <v>970</v>
      </c>
      <c r="F56">
        <f>IF(C56=0, Parametri!$D$8, ABS(B56-C56)/(2*SQRT(3)))</f>
        <v>0.11547005383792516</v>
      </c>
      <c r="G56">
        <f>(A56-335)+135.8+(Parametri!$A$5/2)</f>
        <v>133.80000000000001</v>
      </c>
      <c r="H56" s="3">
        <f>(E56-192)-('Dati (2)'!A56-Parametri!$A$11)+Parametri!$A$2</f>
        <v>445</v>
      </c>
      <c r="I56">
        <f t="shared" si="2"/>
        <v>0.11547005383792516</v>
      </c>
      <c r="J56">
        <f>Parametri!$D$8</f>
        <v>0.11547005383792516</v>
      </c>
    </row>
    <row r="57" spans="1:10" x14ac:dyDescent="0.3">
      <c r="A57" s="2">
        <f t="shared" si="3"/>
        <v>335</v>
      </c>
      <c r="D57">
        <f t="shared" si="1"/>
        <v>1910</v>
      </c>
      <c r="E57" s="3">
        <v>955</v>
      </c>
      <c r="F57">
        <f>IF(C57=0, Parametri!$D$8, ABS(B57-C57)/(2*SQRT(3)))</f>
        <v>0.11547005383792516</v>
      </c>
      <c r="G57">
        <f>(A57-335)+135.8+(Parametri!$A$5/2)</f>
        <v>135.80000000000001</v>
      </c>
      <c r="H57" s="3">
        <f>(E57-192)-('Dati (2)'!A57-Parametri!$A$11)+Parametri!$A$2</f>
        <v>428</v>
      </c>
      <c r="I57">
        <f t="shared" si="2"/>
        <v>0.11547005383792516</v>
      </c>
      <c r="J57">
        <f>Parametri!$D$8</f>
        <v>0.11547005383792516</v>
      </c>
    </row>
    <row r="58" spans="1:10" x14ac:dyDescent="0.3">
      <c r="A58" s="2">
        <f t="shared" si="3"/>
        <v>337</v>
      </c>
      <c r="D58">
        <f t="shared" si="1"/>
        <v>1891</v>
      </c>
      <c r="E58" s="3">
        <v>945.5</v>
      </c>
      <c r="F58">
        <f>IF(C58=0, Parametri!$D$8, ABS(B58-C58)/(2*SQRT(3)))</f>
        <v>0.11547005383792516</v>
      </c>
      <c r="G58">
        <f>(A58-335)+135.8+(Parametri!$A$5/2)</f>
        <v>137.80000000000001</v>
      </c>
      <c r="H58" s="3">
        <f>(E58-192)-('Dati (2)'!A58-Parametri!$A$11)+Parametri!$A$2</f>
        <v>416.5</v>
      </c>
      <c r="I58">
        <f t="shared" si="2"/>
        <v>0.11547005383792516</v>
      </c>
      <c r="J58">
        <f>Parametri!$D$8</f>
        <v>0.11547005383792516</v>
      </c>
    </row>
    <row r="59" spans="1:10" x14ac:dyDescent="0.3">
      <c r="A59" s="2">
        <f t="shared" si="3"/>
        <v>339</v>
      </c>
      <c r="D59">
        <f t="shared" si="1"/>
        <v>1887</v>
      </c>
      <c r="E59" s="3">
        <v>943.5</v>
      </c>
      <c r="F59">
        <f>IF(C59=0, Parametri!$D$8, ABS(B59-C59)/(2*SQRT(3)))</f>
        <v>0.11547005383792516</v>
      </c>
      <c r="G59">
        <f>(A59-335)+135.8+(Parametri!$A$5/2)</f>
        <v>139.80000000000001</v>
      </c>
      <c r="H59" s="3">
        <f>(E59-192)-('Dati (2)'!A59-Parametri!$A$11)+Parametri!$A$2</f>
        <v>412.5</v>
      </c>
      <c r="I59">
        <f t="shared" si="2"/>
        <v>0.11547005383792516</v>
      </c>
      <c r="J59">
        <f>Parametri!$D$8</f>
        <v>0.11547005383792516</v>
      </c>
    </row>
    <row r="60" spans="1:10" x14ac:dyDescent="0.3">
      <c r="A60" s="2">
        <f t="shared" si="3"/>
        <v>341</v>
      </c>
      <c r="D60">
        <f t="shared" si="1"/>
        <v>1867</v>
      </c>
      <c r="E60" s="3">
        <v>933.5</v>
      </c>
      <c r="F60">
        <f>IF(C60=0, Parametri!$D$8, ABS(B60-C60)/(2*SQRT(3)))</f>
        <v>0.11547005383792516</v>
      </c>
      <c r="G60">
        <f>(A60-335)+135.8+(Parametri!$A$5/2)</f>
        <v>141.80000000000001</v>
      </c>
      <c r="H60" s="3">
        <f>(E60-192)-('Dati (2)'!A60-Parametri!$A$11)+Parametri!$A$2</f>
        <v>400.5</v>
      </c>
      <c r="I60">
        <f t="shared" si="2"/>
        <v>0.11547005383792516</v>
      </c>
      <c r="J60">
        <f>Parametri!$D$8</f>
        <v>0.11547005383792516</v>
      </c>
    </row>
    <row r="61" spans="1:10" x14ac:dyDescent="0.3">
      <c r="A61" s="2">
        <f t="shared" si="3"/>
        <v>343</v>
      </c>
      <c r="D61">
        <f t="shared" si="1"/>
        <v>1862</v>
      </c>
      <c r="E61" s="3">
        <v>931</v>
      </c>
      <c r="F61">
        <f>IF(C61=0, Parametri!$D$8, ABS(B61-C61)/(2*SQRT(3)))</f>
        <v>0.11547005383792516</v>
      </c>
      <c r="G61">
        <f>(A61-335)+135.8+(Parametri!$A$5/2)</f>
        <v>143.80000000000001</v>
      </c>
      <c r="H61" s="3">
        <f>(E61-192)-('Dati (2)'!A61-Parametri!$A$11)+Parametri!$A$2</f>
        <v>396</v>
      </c>
      <c r="I61">
        <f t="shared" si="2"/>
        <v>0.11547005383792516</v>
      </c>
      <c r="J61">
        <f>Parametri!$D$8</f>
        <v>0.11547005383792516</v>
      </c>
    </row>
    <row r="62" spans="1:10" x14ac:dyDescent="0.3">
      <c r="A62" s="2">
        <f t="shared" si="3"/>
        <v>345</v>
      </c>
      <c r="D62">
        <f t="shared" si="1"/>
        <v>1846</v>
      </c>
      <c r="E62" s="3">
        <v>923</v>
      </c>
      <c r="F62">
        <f>IF(C62=0, Parametri!$D$8, ABS(B62-C62)/(2*SQRT(3)))</f>
        <v>0.11547005383792516</v>
      </c>
      <c r="G62">
        <f>(A62-335)+135.8+(Parametri!$A$5/2)</f>
        <v>145.80000000000001</v>
      </c>
      <c r="H62" s="3">
        <f>(E62-192)-('Dati (2)'!A62-Parametri!$A$11)+Parametri!$A$2</f>
        <v>386</v>
      </c>
      <c r="I62">
        <f t="shared" si="2"/>
        <v>0.11547005383792516</v>
      </c>
      <c r="J62">
        <f>Parametri!$D$8</f>
        <v>0.11547005383792516</v>
      </c>
    </row>
    <row r="63" spans="1:10" x14ac:dyDescent="0.3">
      <c r="A63" s="2">
        <f t="shared" si="3"/>
        <v>347</v>
      </c>
      <c r="D63">
        <f t="shared" si="1"/>
        <v>1840</v>
      </c>
      <c r="E63" s="3">
        <v>920</v>
      </c>
      <c r="F63">
        <f>IF(C63=0, Parametri!$D$8, ABS(B63-C63)/(2*SQRT(3)))</f>
        <v>0.11547005383792516</v>
      </c>
      <c r="G63">
        <f>(A63-335)+135.8+(Parametri!$A$5/2)</f>
        <v>147.80000000000001</v>
      </c>
      <c r="H63" s="3">
        <f>(E63-192)-('Dati (2)'!A63-Parametri!$A$11)+Parametri!$A$2</f>
        <v>381</v>
      </c>
      <c r="I63">
        <f t="shared" si="2"/>
        <v>0.11547005383792516</v>
      </c>
      <c r="J63">
        <f>Parametri!$D$8</f>
        <v>0.11547005383792516</v>
      </c>
    </row>
    <row r="64" spans="1:10" x14ac:dyDescent="0.3">
      <c r="A64" s="2">
        <f t="shared" si="3"/>
        <v>349</v>
      </c>
      <c r="D64">
        <f t="shared" si="1"/>
        <v>1824</v>
      </c>
      <c r="E64" s="3">
        <v>912</v>
      </c>
      <c r="F64">
        <f>IF(C64=0, Parametri!$D$8, ABS(B64-C64)/(2*SQRT(3)))</f>
        <v>0.11547005383792516</v>
      </c>
      <c r="G64">
        <f>(A64-335)+135.8+(Parametri!$A$5/2)</f>
        <v>149.80000000000001</v>
      </c>
      <c r="H64" s="3">
        <f>(E64-192)-('Dati (2)'!A64-Parametri!$A$11)+Parametri!$A$2</f>
        <v>371</v>
      </c>
      <c r="I64">
        <f t="shared" si="2"/>
        <v>0.11547005383792516</v>
      </c>
      <c r="J64">
        <f>Parametri!$D$8</f>
        <v>0.11547005383792516</v>
      </c>
    </row>
    <row r="65" spans="1:10" x14ac:dyDescent="0.3">
      <c r="A65" s="2">
        <f t="shared" si="3"/>
        <v>351</v>
      </c>
      <c r="D65">
        <f t="shared" si="1"/>
        <v>1812</v>
      </c>
      <c r="E65" s="3">
        <v>906</v>
      </c>
      <c r="F65">
        <f>IF(C65=0, Parametri!$D$8, ABS(B65-C65)/(2*SQRT(3)))</f>
        <v>0.11547005383792516</v>
      </c>
      <c r="G65">
        <f>(A65-335)+135.8+(Parametri!$A$5/2)</f>
        <v>151.80000000000001</v>
      </c>
      <c r="H65" s="3">
        <f>(E65-192)-('Dati (2)'!A65-Parametri!$A$11)+Parametri!$A$2</f>
        <v>363</v>
      </c>
      <c r="I65">
        <f t="shared" si="2"/>
        <v>0.11547005383792516</v>
      </c>
      <c r="J65">
        <f>Parametri!$D$8</f>
        <v>0.11547005383792516</v>
      </c>
    </row>
    <row r="66" spans="1:10" x14ac:dyDescent="0.3">
      <c r="A66" s="2">
        <f>A65+3</f>
        <v>354</v>
      </c>
      <c r="D66">
        <f t="shared" si="1"/>
        <v>1806</v>
      </c>
      <c r="E66" s="3">
        <v>903</v>
      </c>
      <c r="F66">
        <f>IF(C66=0, Parametri!$D$8, ABS(B66-C66)/(2*SQRT(3)))</f>
        <v>0.11547005383792516</v>
      </c>
      <c r="G66">
        <f>(A66-335)+135.8+(Parametri!$A$5/2)</f>
        <v>154.80000000000001</v>
      </c>
      <c r="H66" s="3">
        <f>(E66-192)-('Dati (2)'!A66-Parametri!$A$11)+Parametri!$A$2</f>
        <v>357</v>
      </c>
      <c r="I66">
        <f t="shared" si="2"/>
        <v>0.11547005383792516</v>
      </c>
      <c r="J66">
        <f>Parametri!$D$8</f>
        <v>0.11547005383792516</v>
      </c>
    </row>
    <row r="67" spans="1:10" x14ac:dyDescent="0.3">
      <c r="A67" s="2">
        <f t="shared" ref="A67:A73" si="4">A66+3</f>
        <v>357</v>
      </c>
      <c r="D67">
        <f t="shared" ref="D67:D130" si="5">B67+2*E67</f>
        <v>1782</v>
      </c>
      <c r="E67" s="3">
        <v>891</v>
      </c>
      <c r="F67">
        <f>IF(C67=0, Parametri!$D$8, ABS(B67-C67)/(2*SQRT(3)))</f>
        <v>0.11547005383792516</v>
      </c>
      <c r="G67">
        <f>(A67-335)+135.8+(Parametri!$A$5/2)</f>
        <v>157.80000000000001</v>
      </c>
      <c r="H67" s="3">
        <f>(E67-192)-('Dati (2)'!A67-Parametri!$A$11)+Parametri!$A$2</f>
        <v>342</v>
      </c>
      <c r="I67">
        <f t="shared" ref="I67:I130" si="6">F67</f>
        <v>0.11547005383792516</v>
      </c>
      <c r="J67">
        <f>Parametri!$D$8</f>
        <v>0.11547005383792516</v>
      </c>
    </row>
    <row r="68" spans="1:10" x14ac:dyDescent="0.3">
      <c r="A68" s="2">
        <f t="shared" si="4"/>
        <v>360</v>
      </c>
      <c r="D68">
        <f t="shared" si="5"/>
        <v>1777</v>
      </c>
      <c r="E68" s="3">
        <v>888.5</v>
      </c>
      <c r="F68">
        <f>IF(C68=0, Parametri!$D$8, ABS(B68-C68)/(2*SQRT(3)))</f>
        <v>0.11547005383792516</v>
      </c>
      <c r="G68">
        <f>(A68-335)+135.8+(Parametri!$A$5/2)</f>
        <v>160.80000000000001</v>
      </c>
      <c r="H68" s="3">
        <f>(E68-192)-('Dati (2)'!A68-Parametri!$A$11)+Parametri!$A$2</f>
        <v>336.5</v>
      </c>
      <c r="I68">
        <f t="shared" si="6"/>
        <v>0.11547005383792516</v>
      </c>
      <c r="J68">
        <f>Parametri!$D$8</f>
        <v>0.11547005383792516</v>
      </c>
    </row>
    <row r="69" spans="1:10" x14ac:dyDescent="0.3">
      <c r="A69" s="2">
        <f t="shared" si="4"/>
        <v>363</v>
      </c>
      <c r="D69">
        <f t="shared" si="5"/>
        <v>1780</v>
      </c>
      <c r="E69" s="3">
        <v>890</v>
      </c>
      <c r="F69">
        <f>IF(C69=0, Parametri!$D$8, ABS(B69-C69)/(2*SQRT(3)))</f>
        <v>0.11547005383792516</v>
      </c>
      <c r="G69">
        <f>(A69-335)+135.8+(Parametri!$A$5/2)</f>
        <v>163.80000000000001</v>
      </c>
      <c r="H69" s="3">
        <f>(E69-192)-('Dati (2)'!A69-Parametri!$A$11)+Parametri!$A$2</f>
        <v>335</v>
      </c>
      <c r="I69">
        <f t="shared" si="6"/>
        <v>0.11547005383792516</v>
      </c>
      <c r="J69">
        <f>Parametri!$D$8</f>
        <v>0.11547005383792516</v>
      </c>
    </row>
    <row r="70" spans="1:10" x14ac:dyDescent="0.3">
      <c r="A70" s="2">
        <f t="shared" si="4"/>
        <v>366</v>
      </c>
      <c r="D70">
        <f t="shared" si="5"/>
        <v>1752</v>
      </c>
      <c r="E70" s="3">
        <v>876</v>
      </c>
      <c r="F70">
        <f>IF(C70=0, Parametri!$D$8, ABS(B70-C70)/(2*SQRT(3)))</f>
        <v>0.11547005383792516</v>
      </c>
      <c r="G70">
        <f>(A70-335)+135.8+(Parametri!$A$5/2)</f>
        <v>166.8</v>
      </c>
      <c r="H70" s="3">
        <f>(E70-192)-('Dati (2)'!A70-Parametri!$A$11)+Parametri!$A$2</f>
        <v>318</v>
      </c>
      <c r="I70">
        <f t="shared" si="6"/>
        <v>0.11547005383792516</v>
      </c>
      <c r="J70">
        <f>Parametri!$D$8</f>
        <v>0.11547005383792516</v>
      </c>
    </row>
    <row r="71" spans="1:10" x14ac:dyDescent="0.3">
      <c r="A71" s="2">
        <f t="shared" si="4"/>
        <v>369</v>
      </c>
      <c r="D71">
        <f t="shared" si="5"/>
        <v>1744</v>
      </c>
      <c r="E71" s="3">
        <v>872</v>
      </c>
      <c r="F71">
        <f>IF(C71=0, Parametri!$D$8, ABS(B71-C71)/(2*SQRT(3)))</f>
        <v>0.11547005383792516</v>
      </c>
      <c r="G71">
        <f>(A71-335)+135.8+(Parametri!$A$5/2)</f>
        <v>169.8</v>
      </c>
      <c r="H71" s="3">
        <f>(E71-192)-('Dati (2)'!A71-Parametri!$A$11)+Parametri!$A$2</f>
        <v>311</v>
      </c>
      <c r="I71">
        <f t="shared" si="6"/>
        <v>0.11547005383792516</v>
      </c>
      <c r="J71">
        <f>Parametri!$D$8</f>
        <v>0.11547005383792516</v>
      </c>
    </row>
    <row r="72" spans="1:10" x14ac:dyDescent="0.3">
      <c r="A72" s="2">
        <f t="shared" si="4"/>
        <v>372</v>
      </c>
      <c r="D72">
        <f t="shared" si="5"/>
        <v>1742</v>
      </c>
      <c r="E72" s="3">
        <v>871</v>
      </c>
      <c r="F72">
        <f>IF(C72=0, Parametri!$D$8, ABS(B72-C72)/(2*SQRT(3)))</f>
        <v>0.11547005383792516</v>
      </c>
      <c r="G72">
        <f>(A72-335)+135.8+(Parametri!$A$5/2)</f>
        <v>172.8</v>
      </c>
      <c r="H72" s="3">
        <f>(E72-192)-('Dati (2)'!A72-Parametri!$A$11)+Parametri!$A$2</f>
        <v>307</v>
      </c>
      <c r="I72">
        <f t="shared" si="6"/>
        <v>0.11547005383792516</v>
      </c>
      <c r="J72">
        <f>Parametri!$D$8</f>
        <v>0.11547005383792516</v>
      </c>
    </row>
    <row r="73" spans="1:10" x14ac:dyDescent="0.3">
      <c r="A73" s="2">
        <f t="shared" si="4"/>
        <v>375</v>
      </c>
      <c r="D73">
        <f t="shared" si="5"/>
        <v>1734</v>
      </c>
      <c r="E73" s="3">
        <v>867</v>
      </c>
      <c r="F73">
        <f>IF(C73=0, Parametri!$D$8, ABS(B73-C73)/(2*SQRT(3)))</f>
        <v>0.11547005383792516</v>
      </c>
      <c r="G73">
        <f>(A73-335)+135.8+(Parametri!$A$5/2)</f>
        <v>175.8</v>
      </c>
      <c r="H73" s="3">
        <f>(E73-192)-('Dati (2)'!A73-Parametri!$A$11)+Parametri!$A$2</f>
        <v>300</v>
      </c>
      <c r="I73">
        <f t="shared" si="6"/>
        <v>0.11547005383792516</v>
      </c>
      <c r="J73">
        <f>Parametri!$D$8</f>
        <v>0.11547005383792516</v>
      </c>
    </row>
    <row r="74" spans="1:10" x14ac:dyDescent="0.3">
      <c r="A74" s="2">
        <f>A73+4</f>
        <v>379</v>
      </c>
      <c r="D74">
        <f t="shared" si="5"/>
        <v>1721</v>
      </c>
      <c r="E74" s="3">
        <v>860.5</v>
      </c>
      <c r="F74">
        <f>IF(C74=0, Parametri!$D$8, ABS(B74-C74)/(2*SQRT(3)))</f>
        <v>0.11547005383792516</v>
      </c>
      <c r="G74">
        <f>(A74-335)+135.8+(Parametri!$A$5/2)</f>
        <v>179.8</v>
      </c>
      <c r="H74" s="3">
        <f>(E74-192)-('Dati (2)'!A74-Parametri!$A$11)+Parametri!$A$2</f>
        <v>289.5</v>
      </c>
      <c r="I74">
        <f t="shared" si="6"/>
        <v>0.11547005383792516</v>
      </c>
      <c r="J74">
        <f>Parametri!$D$8</f>
        <v>0.11547005383792516</v>
      </c>
    </row>
    <row r="75" spans="1:10" x14ac:dyDescent="0.3">
      <c r="A75" s="2">
        <f t="shared" ref="A75:A81" si="7">A74+4</f>
        <v>383</v>
      </c>
      <c r="D75">
        <f t="shared" si="5"/>
        <v>1720</v>
      </c>
      <c r="E75" s="3">
        <v>860</v>
      </c>
      <c r="F75">
        <f>IF(C75=0, Parametri!$D$8, ABS(B75-C75)/(2*SQRT(3)))</f>
        <v>0.11547005383792516</v>
      </c>
      <c r="G75">
        <f>(A75-335)+135.8+(Parametri!$A$5/2)</f>
        <v>183.8</v>
      </c>
      <c r="H75" s="3">
        <f>(E75-192)-('Dati (2)'!A75-Parametri!$A$11)+Parametri!$A$2</f>
        <v>285</v>
      </c>
      <c r="I75">
        <f t="shared" si="6"/>
        <v>0.11547005383792516</v>
      </c>
      <c r="J75">
        <f>Parametri!$D$8</f>
        <v>0.11547005383792516</v>
      </c>
    </row>
    <row r="76" spans="1:10" x14ac:dyDescent="0.3">
      <c r="A76" s="2">
        <f t="shared" si="7"/>
        <v>387</v>
      </c>
      <c r="D76">
        <f t="shared" si="5"/>
        <v>1706</v>
      </c>
      <c r="E76" s="3">
        <v>853</v>
      </c>
      <c r="F76">
        <f>IF(C76=0, Parametri!$D$8, ABS(B76-C76)/(2*SQRT(3)))</f>
        <v>0.11547005383792516</v>
      </c>
      <c r="G76">
        <f>(A76-335)+135.8+(Parametri!$A$5/2)</f>
        <v>187.8</v>
      </c>
      <c r="H76" s="3">
        <f>(E76-192)-('Dati (2)'!A76-Parametri!$A$11)+Parametri!$A$2</f>
        <v>274</v>
      </c>
      <c r="I76">
        <f t="shared" si="6"/>
        <v>0.11547005383792516</v>
      </c>
      <c r="J76">
        <f>Parametri!$D$8</f>
        <v>0.11547005383792516</v>
      </c>
    </row>
    <row r="77" spans="1:10" x14ac:dyDescent="0.3">
      <c r="A77" s="2">
        <f t="shared" si="7"/>
        <v>391</v>
      </c>
      <c r="D77">
        <f t="shared" si="5"/>
        <v>1695</v>
      </c>
      <c r="E77" s="3">
        <v>847.5</v>
      </c>
      <c r="F77">
        <f>IF(C77=0, Parametri!$D$8, ABS(B77-C77)/(2*SQRT(3)))</f>
        <v>0.11547005383792516</v>
      </c>
      <c r="G77">
        <f>(A77-335)+135.8+(Parametri!$A$5/2)</f>
        <v>191.8</v>
      </c>
      <c r="H77" s="3">
        <f>(E77-192)-('Dati (2)'!A77-Parametri!$A$11)+Parametri!$A$2</f>
        <v>264.5</v>
      </c>
      <c r="I77">
        <f t="shared" si="6"/>
        <v>0.11547005383792516</v>
      </c>
      <c r="J77">
        <f>Parametri!$D$8</f>
        <v>0.11547005383792516</v>
      </c>
    </row>
    <row r="78" spans="1:10" x14ac:dyDescent="0.3">
      <c r="A78" s="2">
        <f t="shared" si="7"/>
        <v>395</v>
      </c>
      <c r="D78">
        <f t="shared" si="5"/>
        <v>1696</v>
      </c>
      <c r="E78" s="3">
        <v>848</v>
      </c>
      <c r="F78">
        <f>IF(C78=0, Parametri!$D$8, ABS(B78-C78)/(2*SQRT(3)))</f>
        <v>0.11547005383792516</v>
      </c>
      <c r="G78">
        <f>(A78-335)+135.8+(Parametri!$A$5/2)</f>
        <v>195.8</v>
      </c>
      <c r="H78" s="3">
        <f>(E78-192)-('Dati (2)'!A78-Parametri!$A$11)+Parametri!$A$2</f>
        <v>261</v>
      </c>
      <c r="I78">
        <f t="shared" si="6"/>
        <v>0.11547005383792516</v>
      </c>
      <c r="J78">
        <f>Parametri!$D$8</f>
        <v>0.11547005383792516</v>
      </c>
    </row>
    <row r="79" spans="1:10" x14ac:dyDescent="0.3">
      <c r="A79" s="2">
        <f t="shared" si="7"/>
        <v>399</v>
      </c>
      <c r="D79">
        <f t="shared" si="5"/>
        <v>1685</v>
      </c>
      <c r="E79" s="3">
        <v>842.5</v>
      </c>
      <c r="F79">
        <f>IF(C79=0, Parametri!$D$8, ABS(B79-C79)/(2*SQRT(3)))</f>
        <v>0.11547005383792516</v>
      </c>
      <c r="G79">
        <f>(A79-335)+135.8+(Parametri!$A$5/2)</f>
        <v>199.8</v>
      </c>
      <c r="H79" s="3">
        <f>(E79-192)-('Dati (2)'!A79-Parametri!$A$11)+Parametri!$A$2</f>
        <v>251.5</v>
      </c>
      <c r="I79">
        <f t="shared" si="6"/>
        <v>0.11547005383792516</v>
      </c>
      <c r="J79">
        <f>Parametri!$D$8</f>
        <v>0.11547005383792516</v>
      </c>
    </row>
    <row r="80" spans="1:10" x14ac:dyDescent="0.3">
      <c r="A80" s="2">
        <f t="shared" si="7"/>
        <v>403</v>
      </c>
      <c r="D80">
        <f t="shared" si="5"/>
        <v>1682</v>
      </c>
      <c r="E80" s="3">
        <v>841</v>
      </c>
      <c r="F80">
        <f>IF(C80=0, Parametri!$D$8, ABS(B80-C80)/(2*SQRT(3)))</f>
        <v>0.11547005383792516</v>
      </c>
      <c r="G80">
        <f>(A80-335)+135.8+(Parametri!$A$5/2)</f>
        <v>203.8</v>
      </c>
      <c r="H80" s="3">
        <f>(E80-192)-('Dati (2)'!A80-Parametri!$A$11)+Parametri!$A$2</f>
        <v>246</v>
      </c>
      <c r="I80">
        <f t="shared" si="6"/>
        <v>0.11547005383792516</v>
      </c>
      <c r="J80">
        <f>Parametri!$D$8</f>
        <v>0.11547005383792516</v>
      </c>
    </row>
    <row r="81" spans="1:10" x14ac:dyDescent="0.3">
      <c r="A81" s="2">
        <f t="shared" si="7"/>
        <v>407</v>
      </c>
      <c r="D81">
        <f t="shared" si="5"/>
        <v>1677</v>
      </c>
      <c r="E81" s="3">
        <v>838.5</v>
      </c>
      <c r="F81">
        <f>IF(C81=0, Parametri!$D$8, ABS(B81-C81)/(2*SQRT(3)))</f>
        <v>0.11547005383792516</v>
      </c>
      <c r="G81">
        <f>(A81-335)+135.8+(Parametri!$A$5/2)</f>
        <v>207.8</v>
      </c>
      <c r="H81" s="3">
        <f>(E81-192)-('Dati (2)'!A81-Parametri!$A$11)+Parametri!$A$2</f>
        <v>239.5</v>
      </c>
      <c r="I81">
        <f t="shared" si="6"/>
        <v>0.11547005383792516</v>
      </c>
      <c r="J81">
        <f>Parametri!$D$8</f>
        <v>0.11547005383792516</v>
      </c>
    </row>
    <row r="82" spans="1:10" x14ac:dyDescent="0.3">
      <c r="A82" s="2">
        <f>A81+5</f>
        <v>412</v>
      </c>
      <c r="D82">
        <f t="shared" si="5"/>
        <v>1683</v>
      </c>
      <c r="E82" s="3">
        <v>841.5</v>
      </c>
      <c r="F82">
        <f>IF(C82=0, Parametri!$D$8, ABS(B82-C82)/(2*SQRT(3)))</f>
        <v>0.11547005383792516</v>
      </c>
      <c r="G82">
        <f>(A82-335)+135.8+(Parametri!$A$5/2)</f>
        <v>212.8</v>
      </c>
      <c r="H82" s="3">
        <f>(E82-192)-('Dati (2)'!A82-Parametri!$A$11)+Parametri!$A$2</f>
        <v>237.5</v>
      </c>
      <c r="I82">
        <f t="shared" si="6"/>
        <v>0.11547005383792516</v>
      </c>
      <c r="J82">
        <f>Parametri!$D$8</f>
        <v>0.11547005383792516</v>
      </c>
    </row>
    <row r="83" spans="1:10" x14ac:dyDescent="0.3">
      <c r="A83" s="2">
        <f t="shared" ref="A83:A89" si="8">A82+5</f>
        <v>417</v>
      </c>
      <c r="D83">
        <f t="shared" si="5"/>
        <v>1684</v>
      </c>
      <c r="E83" s="3">
        <v>842</v>
      </c>
      <c r="F83">
        <f>IF(C83=0, Parametri!$D$8, ABS(B83-C83)/(2*SQRT(3)))</f>
        <v>0.11547005383792516</v>
      </c>
      <c r="G83">
        <f>(A83-335)+135.8+(Parametri!$A$5/2)</f>
        <v>217.8</v>
      </c>
      <c r="H83" s="3">
        <f>(E83-192)-('Dati (2)'!A83-Parametri!$A$11)+Parametri!$A$2</f>
        <v>233</v>
      </c>
      <c r="I83">
        <f t="shared" si="6"/>
        <v>0.11547005383792516</v>
      </c>
      <c r="J83">
        <f>Parametri!$D$8</f>
        <v>0.11547005383792516</v>
      </c>
    </row>
    <row r="84" spans="1:10" x14ac:dyDescent="0.3">
      <c r="A84" s="2">
        <f t="shared" si="8"/>
        <v>422</v>
      </c>
      <c r="D84">
        <f t="shared" si="5"/>
        <v>1682</v>
      </c>
      <c r="E84" s="3">
        <v>841</v>
      </c>
      <c r="F84">
        <f>IF(C84=0, Parametri!$D$8, ABS(B84-C84)/(2*SQRT(3)))</f>
        <v>0.11547005383792516</v>
      </c>
      <c r="G84">
        <f>(A84-335)+135.8+(Parametri!$A$5/2)</f>
        <v>222.8</v>
      </c>
      <c r="H84" s="3">
        <f>(E84-192)-('Dati (2)'!A84-Parametri!$A$11)+Parametri!$A$2</f>
        <v>227</v>
      </c>
      <c r="I84">
        <f t="shared" si="6"/>
        <v>0.11547005383792516</v>
      </c>
      <c r="J84">
        <f>Parametri!$D$8</f>
        <v>0.11547005383792516</v>
      </c>
    </row>
    <row r="85" spans="1:10" x14ac:dyDescent="0.3">
      <c r="A85" s="2">
        <f t="shared" si="8"/>
        <v>427</v>
      </c>
      <c r="D85">
        <f t="shared" si="5"/>
        <v>1681</v>
      </c>
      <c r="E85" s="3">
        <v>840.5</v>
      </c>
      <c r="F85">
        <f>IF(C85=0, Parametri!$D$8, ABS(B85-C85)/(2*SQRT(3)))</f>
        <v>0.11547005383792516</v>
      </c>
      <c r="G85">
        <f>(A85-335)+135.8+(Parametri!$A$5/2)</f>
        <v>227.8</v>
      </c>
      <c r="H85" s="3">
        <f>(E85-192)-('Dati (2)'!A85-Parametri!$A$11)+Parametri!$A$2</f>
        <v>221.5</v>
      </c>
      <c r="I85">
        <f t="shared" si="6"/>
        <v>0.11547005383792516</v>
      </c>
      <c r="J85">
        <f>Parametri!$D$8</f>
        <v>0.11547005383792516</v>
      </c>
    </row>
    <row r="86" spans="1:10" x14ac:dyDescent="0.3">
      <c r="A86" s="2">
        <f t="shared" si="8"/>
        <v>432</v>
      </c>
      <c r="D86">
        <f t="shared" si="5"/>
        <v>1680</v>
      </c>
      <c r="E86" s="3">
        <v>840</v>
      </c>
      <c r="F86">
        <f>IF(C86=0, Parametri!$D$8, ABS(B86-C86)/(2*SQRT(3)))</f>
        <v>0.11547005383792516</v>
      </c>
      <c r="G86">
        <f>(A86-335)+135.8+(Parametri!$A$5/2)</f>
        <v>232.8</v>
      </c>
      <c r="H86" s="3">
        <f>(E86-192)-('Dati (2)'!A86-Parametri!$A$11)+Parametri!$A$2</f>
        <v>216</v>
      </c>
      <c r="I86">
        <f t="shared" si="6"/>
        <v>0.11547005383792516</v>
      </c>
      <c r="J86">
        <f>Parametri!$D$8</f>
        <v>0.11547005383792516</v>
      </c>
    </row>
    <row r="87" spans="1:10" x14ac:dyDescent="0.3">
      <c r="A87" s="2">
        <f t="shared" si="8"/>
        <v>437</v>
      </c>
      <c r="D87">
        <f t="shared" si="5"/>
        <v>1680</v>
      </c>
      <c r="E87" s="3">
        <v>840</v>
      </c>
      <c r="F87">
        <f>IF(C87=0, Parametri!$D$8, ABS(B87-C87)/(2*SQRT(3)))</f>
        <v>0.11547005383792516</v>
      </c>
      <c r="G87">
        <f>(A87-335)+135.8+(Parametri!$A$5/2)</f>
        <v>237.8</v>
      </c>
      <c r="H87" s="3">
        <f>(E87-192)-('Dati (2)'!A87-Parametri!$A$11)+Parametri!$A$2</f>
        <v>211</v>
      </c>
      <c r="I87">
        <f t="shared" si="6"/>
        <v>0.11547005383792516</v>
      </c>
      <c r="J87">
        <f>Parametri!$D$8</f>
        <v>0.11547005383792516</v>
      </c>
    </row>
    <row r="88" spans="1:10" x14ac:dyDescent="0.3">
      <c r="A88" s="2">
        <f t="shared" si="8"/>
        <v>442</v>
      </c>
      <c r="D88">
        <f t="shared" si="5"/>
        <v>1680</v>
      </c>
      <c r="E88" s="3">
        <v>840</v>
      </c>
      <c r="F88">
        <f>IF(C88=0, Parametri!$D$8, ABS(B88-C88)/(2*SQRT(3)))</f>
        <v>0.11547005383792516</v>
      </c>
      <c r="G88">
        <f>(A88-335)+135.8+(Parametri!$A$5/2)</f>
        <v>242.8</v>
      </c>
      <c r="H88" s="3">
        <f>(E88-192)-('Dati (2)'!A88-Parametri!$A$11)+Parametri!$A$2</f>
        <v>206</v>
      </c>
      <c r="I88">
        <f t="shared" si="6"/>
        <v>0.11547005383792516</v>
      </c>
      <c r="J88">
        <f>Parametri!$D$8</f>
        <v>0.11547005383792516</v>
      </c>
    </row>
    <row r="89" spans="1:10" x14ac:dyDescent="0.3">
      <c r="A89" s="2">
        <f t="shared" si="8"/>
        <v>447</v>
      </c>
      <c r="D89">
        <f t="shared" si="5"/>
        <v>1680</v>
      </c>
      <c r="E89" s="3">
        <v>840</v>
      </c>
      <c r="F89">
        <f>IF(C89=0, Parametri!$D$8, ABS(B89-C89)/(2*SQRT(3)))</f>
        <v>0.11547005383792516</v>
      </c>
      <c r="G89">
        <f>(A89-335)+135.8+(Parametri!$A$5/2)</f>
        <v>247.8</v>
      </c>
      <c r="H89" s="3">
        <f>(E89-192)-('Dati (2)'!A89-Parametri!$A$11)+Parametri!$A$2</f>
        <v>201</v>
      </c>
      <c r="I89">
        <f t="shared" si="6"/>
        <v>0.11547005383792516</v>
      </c>
      <c r="J89">
        <f>Parametri!$D$8</f>
        <v>0.11547005383792516</v>
      </c>
    </row>
    <row r="90" spans="1:10" x14ac:dyDescent="0.3">
      <c r="A90" s="2">
        <f>A89+7</f>
        <v>454</v>
      </c>
      <c r="D90">
        <f t="shared" si="5"/>
        <v>1680</v>
      </c>
      <c r="E90" s="3">
        <v>840</v>
      </c>
      <c r="F90">
        <f>IF(C90=0, Parametri!$D$8, ABS(B90-C90)/(2*SQRT(3)))</f>
        <v>0.11547005383792516</v>
      </c>
      <c r="G90">
        <f>(A90-335)+135.8+(Parametri!$A$5/2)</f>
        <v>254.8</v>
      </c>
      <c r="H90" s="3">
        <f>(E90-192)-('Dati (2)'!A90-Parametri!$A$11)+Parametri!$A$2</f>
        <v>194</v>
      </c>
      <c r="I90">
        <f t="shared" si="6"/>
        <v>0.11547005383792516</v>
      </c>
      <c r="J90">
        <f>Parametri!$D$8</f>
        <v>0.11547005383792516</v>
      </c>
    </row>
    <row r="91" spans="1:10" x14ac:dyDescent="0.3">
      <c r="A91" s="2">
        <f t="shared" ref="A91:A93" si="9">A90+7</f>
        <v>461</v>
      </c>
      <c r="D91">
        <f t="shared" si="5"/>
        <v>1683</v>
      </c>
      <c r="E91" s="3">
        <v>841.5</v>
      </c>
      <c r="F91">
        <f>IF(C91=0, Parametri!$D$8, ABS(B91-C91)/(2*SQRT(3)))</f>
        <v>0.11547005383792516</v>
      </c>
      <c r="G91">
        <f>(A91-335)+135.8+(Parametri!$A$5/2)</f>
        <v>261.8</v>
      </c>
      <c r="H91" s="3">
        <f>(E91-192)-('Dati (2)'!A91-Parametri!$A$11)+Parametri!$A$2</f>
        <v>188.5</v>
      </c>
      <c r="I91">
        <f t="shared" si="6"/>
        <v>0.11547005383792516</v>
      </c>
      <c r="J91">
        <f>Parametri!$D$8</f>
        <v>0.11547005383792516</v>
      </c>
    </row>
    <row r="92" spans="1:10" x14ac:dyDescent="0.3">
      <c r="A92" s="2">
        <f t="shared" si="9"/>
        <v>468</v>
      </c>
      <c r="D92">
        <f t="shared" si="5"/>
        <v>1692</v>
      </c>
      <c r="E92" s="3">
        <v>846</v>
      </c>
      <c r="F92">
        <f>IF(C92=0, Parametri!$D$8, ABS(B92-C92)/(2*SQRT(3)))</f>
        <v>0.11547005383792516</v>
      </c>
      <c r="G92">
        <f>(A92-335)+135.8+(Parametri!$A$5/2)</f>
        <v>268.8</v>
      </c>
      <c r="H92" s="3">
        <f>(E92-192)-('Dati (2)'!A92-Parametri!$A$11)+Parametri!$A$2</f>
        <v>186</v>
      </c>
      <c r="I92">
        <f t="shared" si="6"/>
        <v>0.11547005383792516</v>
      </c>
      <c r="J92">
        <f>Parametri!$D$8</f>
        <v>0.11547005383792516</v>
      </c>
    </row>
    <row r="93" spans="1:10" x14ac:dyDescent="0.3">
      <c r="A93" s="2">
        <f t="shared" si="9"/>
        <v>475</v>
      </c>
      <c r="D93">
        <f t="shared" si="5"/>
        <v>1689</v>
      </c>
      <c r="E93" s="3">
        <v>844.5</v>
      </c>
      <c r="F93">
        <f>IF(C93=0, Parametri!$D$8, ABS(B93-C93)/(2*SQRT(3)))</f>
        <v>0.11547005383792516</v>
      </c>
      <c r="G93">
        <f>(A93-335)+135.8+(Parametri!$A$5/2)</f>
        <v>275.8</v>
      </c>
      <c r="H93" s="3">
        <f>(E93-192)-('Dati (2)'!A93-Parametri!$A$11)+Parametri!$A$2</f>
        <v>177.5</v>
      </c>
      <c r="I93">
        <f t="shared" si="6"/>
        <v>0.11547005383792516</v>
      </c>
      <c r="J93">
        <f>Parametri!$D$8</f>
        <v>0.11547005383792516</v>
      </c>
    </row>
    <row r="94" spans="1:10" x14ac:dyDescent="0.3">
      <c r="A94" s="2">
        <f>A93+10</f>
        <v>485</v>
      </c>
      <c r="D94">
        <f t="shared" si="5"/>
        <v>1700</v>
      </c>
      <c r="E94" s="3">
        <v>850</v>
      </c>
      <c r="F94">
        <f>IF(C94=0, Parametri!$D$8, ABS(B94-C94)/(2*SQRT(3)))</f>
        <v>0.11547005383792516</v>
      </c>
      <c r="G94">
        <f>(A94-335)+135.8+(Parametri!$A$5/2)</f>
        <v>285.8</v>
      </c>
      <c r="H94" s="3">
        <f>(E94-192)-('Dati (2)'!A94-Parametri!$A$11)+Parametri!$A$2</f>
        <v>173</v>
      </c>
      <c r="I94">
        <f t="shared" si="6"/>
        <v>0.11547005383792516</v>
      </c>
      <c r="J94">
        <f>Parametri!$D$8</f>
        <v>0.11547005383792516</v>
      </c>
    </row>
    <row r="95" spans="1:10" x14ac:dyDescent="0.3">
      <c r="A95" s="2">
        <f t="shared" ref="A95:A103" si="10">A94+10</f>
        <v>495</v>
      </c>
      <c r="D95">
        <f t="shared" si="5"/>
        <v>1706</v>
      </c>
      <c r="E95" s="3">
        <v>853</v>
      </c>
      <c r="F95">
        <f>IF(C95=0, Parametri!$D$8, ABS(B95-C95)/(2*SQRT(3)))</f>
        <v>0.11547005383792516</v>
      </c>
      <c r="G95">
        <f>(A95-335)+135.8+(Parametri!$A$5/2)</f>
        <v>295.8</v>
      </c>
      <c r="H95" s="3">
        <f>(E95-192)-('Dati (2)'!A95-Parametri!$A$11)+Parametri!$A$2</f>
        <v>166</v>
      </c>
      <c r="I95">
        <f t="shared" si="6"/>
        <v>0.11547005383792516</v>
      </c>
      <c r="J95">
        <f>Parametri!$D$8</f>
        <v>0.11547005383792516</v>
      </c>
    </row>
    <row r="96" spans="1:10" x14ac:dyDescent="0.3">
      <c r="A96" s="2">
        <f t="shared" si="10"/>
        <v>505</v>
      </c>
      <c r="D96">
        <f t="shared" si="5"/>
        <v>1712</v>
      </c>
      <c r="E96" s="3">
        <v>856</v>
      </c>
      <c r="F96">
        <f>IF(C96=0, Parametri!$D$8, ABS(B96-C96)/(2*SQRT(3)))</f>
        <v>0.11547005383792516</v>
      </c>
      <c r="G96">
        <f>(A96-335)+135.8+(Parametri!$A$5/2)</f>
        <v>305.8</v>
      </c>
      <c r="H96" s="3">
        <f>(E96-192)-('Dati (2)'!A96-Parametri!$A$11)+Parametri!$A$2</f>
        <v>159</v>
      </c>
      <c r="I96">
        <f t="shared" si="6"/>
        <v>0.11547005383792516</v>
      </c>
      <c r="J96">
        <f>Parametri!$D$8</f>
        <v>0.11547005383792516</v>
      </c>
    </row>
    <row r="97" spans="1:10" x14ac:dyDescent="0.3">
      <c r="A97" s="2">
        <f t="shared" si="10"/>
        <v>515</v>
      </c>
      <c r="D97">
        <f t="shared" si="5"/>
        <v>1718</v>
      </c>
      <c r="E97" s="3">
        <v>859</v>
      </c>
      <c r="F97">
        <f>IF(C97=0, Parametri!$D$8, ABS(B97-C97)/(2*SQRT(3)))</f>
        <v>0.11547005383792516</v>
      </c>
      <c r="G97">
        <f>(A97-335)+135.8+(Parametri!$A$5/2)</f>
        <v>315.8</v>
      </c>
      <c r="H97" s="3">
        <f>(E97-192)-('Dati (2)'!A97-Parametri!$A$11)+Parametri!$A$2</f>
        <v>152</v>
      </c>
      <c r="I97">
        <f t="shared" si="6"/>
        <v>0.11547005383792516</v>
      </c>
      <c r="J97">
        <f>Parametri!$D$8</f>
        <v>0.11547005383792516</v>
      </c>
    </row>
    <row r="98" spans="1:10" x14ac:dyDescent="0.3">
      <c r="A98" s="2">
        <f t="shared" si="10"/>
        <v>525</v>
      </c>
      <c r="D98">
        <f t="shared" si="5"/>
        <v>1717</v>
      </c>
      <c r="E98" s="3">
        <v>858.5</v>
      </c>
      <c r="F98">
        <f>IF(C98=0, Parametri!$D$8, ABS(B98-C98)/(2*SQRT(3)))</f>
        <v>0.11547005383792516</v>
      </c>
      <c r="G98">
        <f>(A98-335)+135.8+(Parametri!$A$5/2)</f>
        <v>325.8</v>
      </c>
      <c r="H98" s="3">
        <f>(E98-192)-('Dati (2)'!A98-Parametri!$A$11)+Parametri!$A$2</f>
        <v>141.5</v>
      </c>
      <c r="I98">
        <f t="shared" si="6"/>
        <v>0.11547005383792516</v>
      </c>
      <c r="J98">
        <f>Parametri!$D$8</f>
        <v>0.11547005383792516</v>
      </c>
    </row>
    <row r="99" spans="1:10" x14ac:dyDescent="0.3">
      <c r="A99" s="2">
        <f t="shared" si="10"/>
        <v>535</v>
      </c>
      <c r="D99">
        <f t="shared" si="5"/>
        <v>1749</v>
      </c>
      <c r="E99" s="3">
        <v>874.5</v>
      </c>
      <c r="F99">
        <f>IF(C99=0, Parametri!$D$8, ABS(B99-C99)/(2*SQRT(3)))</f>
        <v>0.11547005383792516</v>
      </c>
      <c r="G99">
        <f>(A99-335)+135.8+(Parametri!$A$5/2)</f>
        <v>335.8</v>
      </c>
      <c r="H99" s="3">
        <f>(E99-192)-('Dati (2)'!A99-Parametri!$A$11)+Parametri!$A$2</f>
        <v>147.5</v>
      </c>
      <c r="I99">
        <f t="shared" si="6"/>
        <v>0.11547005383792516</v>
      </c>
      <c r="J99">
        <f>Parametri!$D$8</f>
        <v>0.11547005383792516</v>
      </c>
    </row>
    <row r="100" spans="1:10" x14ac:dyDescent="0.3">
      <c r="A100" s="2">
        <f t="shared" si="10"/>
        <v>545</v>
      </c>
      <c r="D100">
        <f t="shared" si="5"/>
        <v>1753</v>
      </c>
      <c r="E100" s="3">
        <v>876.5</v>
      </c>
      <c r="F100">
        <f>IF(C100=0, Parametri!$D$8, ABS(B100-C100)/(2*SQRT(3)))</f>
        <v>0.11547005383792516</v>
      </c>
      <c r="G100">
        <f>(A100-335)+135.8+(Parametri!$A$5/2)</f>
        <v>345.8</v>
      </c>
      <c r="H100" s="3">
        <f>(E100-192)-('Dati (2)'!A100-Parametri!$A$11)+Parametri!$A$2</f>
        <v>139.5</v>
      </c>
      <c r="I100">
        <f t="shared" si="6"/>
        <v>0.11547005383792516</v>
      </c>
      <c r="J100">
        <f>Parametri!$D$8</f>
        <v>0.11547005383792516</v>
      </c>
    </row>
    <row r="101" spans="1:10" x14ac:dyDescent="0.3">
      <c r="A101" s="2">
        <f t="shared" si="10"/>
        <v>555</v>
      </c>
      <c r="D101">
        <f t="shared" si="5"/>
        <v>1768</v>
      </c>
      <c r="E101" s="3">
        <v>884</v>
      </c>
      <c r="F101">
        <f>IF(C101=0, Parametri!$D$8, ABS(B101-C101)/(2*SQRT(3)))</f>
        <v>0.11547005383792516</v>
      </c>
      <c r="G101">
        <f>(A101-335)+135.8+(Parametri!$A$5/2)</f>
        <v>355.8</v>
      </c>
      <c r="H101" s="3">
        <f>(E101-192)-('Dati (2)'!A101-Parametri!$A$11)+Parametri!$A$2</f>
        <v>137</v>
      </c>
      <c r="I101">
        <f t="shared" si="6"/>
        <v>0.11547005383792516</v>
      </c>
      <c r="J101">
        <f>Parametri!$D$8</f>
        <v>0.11547005383792516</v>
      </c>
    </row>
    <row r="102" spans="1:10" x14ac:dyDescent="0.3">
      <c r="A102" s="2">
        <f t="shared" si="10"/>
        <v>565</v>
      </c>
      <c r="D102">
        <f t="shared" si="5"/>
        <v>1778</v>
      </c>
      <c r="E102" s="3">
        <v>889</v>
      </c>
      <c r="F102">
        <f>IF(C102=0, Parametri!$D$8, ABS(B102-C102)/(2*SQRT(3)))</f>
        <v>0.11547005383792516</v>
      </c>
      <c r="G102">
        <f>(A102-335)+135.8+(Parametri!$A$5/2)</f>
        <v>365.8</v>
      </c>
      <c r="H102" s="3">
        <f>(E102-192)-('Dati (2)'!A102-Parametri!$A$11)+Parametri!$A$2</f>
        <v>132</v>
      </c>
      <c r="I102">
        <f t="shared" si="6"/>
        <v>0.11547005383792516</v>
      </c>
      <c r="J102">
        <f>Parametri!$D$8</f>
        <v>0.11547005383792516</v>
      </c>
    </row>
    <row r="103" spans="1:10" x14ac:dyDescent="0.3">
      <c r="A103" s="2">
        <f t="shared" si="10"/>
        <v>575</v>
      </c>
      <c r="D103">
        <f t="shared" si="5"/>
        <v>1789</v>
      </c>
      <c r="E103" s="3">
        <v>894.5</v>
      </c>
      <c r="F103">
        <f>IF(C103=0, Parametri!$D$8, ABS(B103-C103)/(2*SQRT(3)))</f>
        <v>0.11547005383792516</v>
      </c>
      <c r="G103">
        <f>(A103-335)+135.8+(Parametri!$A$5/2)</f>
        <v>375.8</v>
      </c>
      <c r="H103" s="3">
        <f>(E103-192)-('Dati (2)'!A103-Parametri!$A$11)+Parametri!$A$2</f>
        <v>127.5</v>
      </c>
      <c r="I103">
        <f t="shared" si="6"/>
        <v>0.11547005383792516</v>
      </c>
      <c r="J103">
        <f>Parametri!$D$8</f>
        <v>0.11547005383792516</v>
      </c>
    </row>
    <row r="104" spans="1:10" x14ac:dyDescent="0.3">
      <c r="A104" s="2">
        <f>A103+20</f>
        <v>595</v>
      </c>
      <c r="D104">
        <f t="shared" si="5"/>
        <v>1813</v>
      </c>
      <c r="E104" s="3">
        <v>906.5</v>
      </c>
      <c r="F104">
        <f>IF(C104=0, Parametri!$D$8, ABS(B104-C104)/(2*SQRT(3)))</f>
        <v>0.11547005383792516</v>
      </c>
      <c r="G104">
        <f>(A104-335)+135.8+(Parametri!$A$5/2)</f>
        <v>395.8</v>
      </c>
      <c r="H104" s="3">
        <f>(E104-192)-('Dati (2)'!A104-Parametri!$A$11)+Parametri!$A$2</f>
        <v>119.5</v>
      </c>
      <c r="I104">
        <f t="shared" si="6"/>
        <v>0.11547005383792516</v>
      </c>
      <c r="J104">
        <f>Parametri!$D$8</f>
        <v>0.11547005383792516</v>
      </c>
    </row>
    <row r="105" spans="1:10" x14ac:dyDescent="0.3">
      <c r="A105" s="2">
        <f t="shared" ref="A105:A113" si="11">A104+20</f>
        <v>615</v>
      </c>
      <c r="D105">
        <f t="shared" si="5"/>
        <v>1849</v>
      </c>
      <c r="E105" s="3">
        <v>924.5</v>
      </c>
      <c r="F105">
        <f>IF(C105=0, Parametri!$D$8, ABS(B105-C105)/(2*SQRT(3)))</f>
        <v>0.11547005383792516</v>
      </c>
      <c r="G105">
        <f>(A105-335)+135.8+(Parametri!$A$5/2)</f>
        <v>415.8</v>
      </c>
      <c r="H105" s="3">
        <f>(E105-192)-('Dati (2)'!A105-Parametri!$A$11)+Parametri!$A$2</f>
        <v>117.5</v>
      </c>
      <c r="I105">
        <f t="shared" si="6"/>
        <v>0.11547005383792516</v>
      </c>
      <c r="J105">
        <f>Parametri!$D$8</f>
        <v>0.11547005383792516</v>
      </c>
    </row>
    <row r="106" spans="1:10" x14ac:dyDescent="0.3">
      <c r="A106" s="2">
        <f t="shared" si="11"/>
        <v>635</v>
      </c>
      <c r="D106">
        <f t="shared" si="5"/>
        <v>1875</v>
      </c>
      <c r="E106" s="3">
        <v>937.5</v>
      </c>
      <c r="F106">
        <f>IF(C106=0, Parametri!$D$8, ABS(B106-C106)/(2*SQRT(3)))</f>
        <v>0.11547005383792516</v>
      </c>
      <c r="G106">
        <f>(A106-335)+135.8+(Parametri!$A$5/2)</f>
        <v>435.8</v>
      </c>
      <c r="H106" s="3">
        <f>(E106-192)-('Dati (2)'!A106-Parametri!$A$11)+Parametri!$A$2</f>
        <v>110.5</v>
      </c>
      <c r="I106">
        <f t="shared" si="6"/>
        <v>0.11547005383792516</v>
      </c>
      <c r="J106">
        <f>Parametri!$D$8</f>
        <v>0.11547005383792516</v>
      </c>
    </row>
    <row r="107" spans="1:10" x14ac:dyDescent="0.3">
      <c r="A107" s="2">
        <f t="shared" si="11"/>
        <v>655</v>
      </c>
      <c r="D107">
        <f t="shared" si="5"/>
        <v>1904</v>
      </c>
      <c r="E107" s="3">
        <v>952</v>
      </c>
      <c r="F107">
        <f>IF(C107=0, Parametri!$D$8, ABS(B107-C107)/(2*SQRT(3)))</f>
        <v>0.11547005383792516</v>
      </c>
      <c r="G107">
        <f>(A107-335)+135.8+(Parametri!$A$5/2)</f>
        <v>455.8</v>
      </c>
      <c r="H107" s="3">
        <f>(E107-192)-('Dati (2)'!A107-Parametri!$A$11)+Parametri!$A$2</f>
        <v>105</v>
      </c>
      <c r="I107">
        <f t="shared" si="6"/>
        <v>0.11547005383792516</v>
      </c>
      <c r="J107">
        <f>Parametri!$D$8</f>
        <v>0.11547005383792516</v>
      </c>
    </row>
    <row r="108" spans="1:10" x14ac:dyDescent="0.3">
      <c r="A108" s="2">
        <f t="shared" si="11"/>
        <v>675</v>
      </c>
      <c r="D108">
        <f t="shared" si="5"/>
        <v>1937</v>
      </c>
      <c r="E108" s="3">
        <v>968.5</v>
      </c>
      <c r="F108">
        <f>IF(C108=0, Parametri!$D$8, ABS(B108-C108)/(2*SQRT(3)))</f>
        <v>0.11547005383792516</v>
      </c>
      <c r="G108">
        <f>(A108-335)+135.8+(Parametri!$A$5/2)</f>
        <v>475.8</v>
      </c>
      <c r="H108" s="3">
        <f>(E108-192)-('Dati (2)'!A108-Parametri!$A$11)+Parametri!$A$2</f>
        <v>101.5</v>
      </c>
      <c r="I108">
        <f t="shared" si="6"/>
        <v>0.11547005383792516</v>
      </c>
      <c r="J108">
        <f>Parametri!$D$8</f>
        <v>0.11547005383792516</v>
      </c>
    </row>
    <row r="109" spans="1:10" x14ac:dyDescent="0.3">
      <c r="A109" s="2">
        <f t="shared" si="11"/>
        <v>695</v>
      </c>
      <c r="D109">
        <f t="shared" si="5"/>
        <v>1969</v>
      </c>
      <c r="E109" s="3">
        <v>984.5</v>
      </c>
      <c r="F109">
        <f>IF(C109=0, Parametri!$D$8, ABS(B109-C109)/(2*SQRT(3)))</f>
        <v>0.11547005383792516</v>
      </c>
      <c r="G109">
        <f>(A109-335)+135.8+(Parametri!$A$5/2)</f>
        <v>495.8</v>
      </c>
      <c r="H109" s="3">
        <f>(E109-192)-('Dati (2)'!A109-Parametri!$A$11)+Parametri!$A$2</f>
        <v>97.5</v>
      </c>
      <c r="I109">
        <f t="shared" si="6"/>
        <v>0.11547005383792516</v>
      </c>
      <c r="J109">
        <f>Parametri!$D$8</f>
        <v>0.11547005383792516</v>
      </c>
    </row>
    <row r="110" spans="1:10" x14ac:dyDescent="0.3">
      <c r="A110" s="2">
        <f t="shared" si="11"/>
        <v>715</v>
      </c>
      <c r="D110">
        <f t="shared" si="5"/>
        <v>2002</v>
      </c>
      <c r="E110" s="3">
        <v>1001</v>
      </c>
      <c r="F110">
        <f>IF(C110=0, Parametri!$D$8, ABS(B110-C110)/(2*SQRT(3)))</f>
        <v>0.11547005383792516</v>
      </c>
      <c r="G110">
        <f>(A110-335)+135.8+(Parametri!$A$5/2)</f>
        <v>515.79999999999995</v>
      </c>
      <c r="H110" s="3">
        <f>(E110-192)-('Dati (2)'!A110-Parametri!$A$11)+Parametri!$A$2</f>
        <v>94</v>
      </c>
      <c r="I110">
        <f t="shared" si="6"/>
        <v>0.11547005383792516</v>
      </c>
      <c r="J110">
        <f>Parametri!$D$8</f>
        <v>0.11547005383792516</v>
      </c>
    </row>
    <row r="111" spans="1:10" x14ac:dyDescent="0.3">
      <c r="A111" s="2">
        <f t="shared" si="11"/>
        <v>735</v>
      </c>
      <c r="D111">
        <f t="shared" si="5"/>
        <v>2034</v>
      </c>
      <c r="E111" s="3">
        <v>1017</v>
      </c>
      <c r="F111">
        <f>IF(C111=0, Parametri!$D$8, ABS(B111-C111)/(2*SQRT(3)))</f>
        <v>0.11547005383792516</v>
      </c>
      <c r="G111">
        <f>(A111-335)+135.8+(Parametri!$A$5/2)</f>
        <v>535.79999999999995</v>
      </c>
      <c r="H111" s="3">
        <f>(E111-192)-('Dati (2)'!A111-Parametri!$A$11)+Parametri!$A$2</f>
        <v>90</v>
      </c>
      <c r="I111">
        <f t="shared" si="6"/>
        <v>0.11547005383792516</v>
      </c>
      <c r="J111">
        <f>Parametri!$D$8</f>
        <v>0.11547005383792516</v>
      </c>
    </row>
    <row r="112" spans="1:10" x14ac:dyDescent="0.3">
      <c r="A112" s="2">
        <f t="shared" si="11"/>
        <v>755</v>
      </c>
      <c r="D112">
        <f t="shared" si="5"/>
        <v>2067</v>
      </c>
      <c r="E112" s="3">
        <v>1033.5</v>
      </c>
      <c r="F112">
        <f>IF(C112=0, Parametri!$D$8, ABS(B112-C112)/(2*SQRT(3)))</f>
        <v>0.11547005383792516</v>
      </c>
      <c r="G112">
        <f>(A112-335)+135.8+(Parametri!$A$5/2)</f>
        <v>555.79999999999995</v>
      </c>
      <c r="H112" s="3">
        <f>(E112-192)-('Dati (2)'!A112-Parametri!$A$11)+Parametri!$A$2</f>
        <v>86.5</v>
      </c>
      <c r="I112">
        <f t="shared" si="6"/>
        <v>0.11547005383792516</v>
      </c>
      <c r="J112">
        <f>Parametri!$D$8</f>
        <v>0.11547005383792516</v>
      </c>
    </row>
    <row r="113" spans="1:10" x14ac:dyDescent="0.3">
      <c r="A113" s="2">
        <f t="shared" si="11"/>
        <v>775</v>
      </c>
      <c r="D113">
        <f t="shared" si="5"/>
        <v>2100</v>
      </c>
      <c r="E113" s="3">
        <v>1050</v>
      </c>
      <c r="F113">
        <f>IF(C113=0, Parametri!$D$8, ABS(B113-C113)/(2*SQRT(3)))</f>
        <v>0.11547005383792516</v>
      </c>
      <c r="G113">
        <f>(A113-335)+135.8+(Parametri!$A$5/2)</f>
        <v>575.79999999999995</v>
      </c>
      <c r="H113" s="3">
        <f>(E113-192)-('Dati (2)'!A113-Parametri!$A$11)+Parametri!$A$2</f>
        <v>83</v>
      </c>
      <c r="I113">
        <f t="shared" si="6"/>
        <v>0.11547005383792516</v>
      </c>
      <c r="J113">
        <f>Parametri!$D$8</f>
        <v>0.11547005383792516</v>
      </c>
    </row>
    <row r="114" spans="1:10" x14ac:dyDescent="0.3">
      <c r="A114" s="2">
        <f>A113+50</f>
        <v>825</v>
      </c>
      <c r="D114">
        <f t="shared" si="5"/>
        <v>2187</v>
      </c>
      <c r="E114" s="3">
        <v>1093.5</v>
      </c>
      <c r="F114">
        <f>IF(C114=0, Parametri!$D$8, ABS(B114-C114)/(2*SQRT(3)))</f>
        <v>0.11547005383792516</v>
      </c>
      <c r="G114">
        <f>(A114-335)+135.8+(Parametri!$A$5/2)</f>
        <v>625.79999999999995</v>
      </c>
      <c r="H114" s="3">
        <f>(E114-192)-('Dati (2)'!A114-Parametri!$A$11)+Parametri!$A$2</f>
        <v>76.5</v>
      </c>
      <c r="I114">
        <f t="shared" si="6"/>
        <v>0.11547005383792516</v>
      </c>
      <c r="J114">
        <f>Parametri!$D$8</f>
        <v>0.11547005383792516</v>
      </c>
    </row>
    <row r="115" spans="1:10" x14ac:dyDescent="0.3">
      <c r="A115" s="2">
        <f t="shared" ref="A115:A118" si="12">A114+50</f>
        <v>875</v>
      </c>
      <c r="D115">
        <f t="shared" si="5"/>
        <v>2276</v>
      </c>
      <c r="E115" s="3">
        <v>1138</v>
      </c>
      <c r="F115">
        <f>IF(C115=0, Parametri!$D$8, ABS(B115-C115)/(2*SQRT(3)))</f>
        <v>0.11547005383792516</v>
      </c>
      <c r="G115">
        <f>(A115-335)+135.8+(Parametri!$A$5/2)</f>
        <v>675.8</v>
      </c>
      <c r="H115" s="3">
        <f>(E115-192)-('Dati (2)'!A115-Parametri!$A$11)+Parametri!$A$2</f>
        <v>71</v>
      </c>
      <c r="I115">
        <f t="shared" si="6"/>
        <v>0.11547005383792516</v>
      </c>
      <c r="J115">
        <f>Parametri!$D$8</f>
        <v>0.11547005383792516</v>
      </c>
    </row>
    <row r="116" spans="1:10" x14ac:dyDescent="0.3">
      <c r="A116" s="2">
        <f t="shared" si="12"/>
        <v>925</v>
      </c>
      <c r="D116">
        <f t="shared" si="5"/>
        <v>2369</v>
      </c>
      <c r="E116" s="3">
        <v>1184.5</v>
      </c>
      <c r="F116">
        <f>IF(C116=0, Parametri!$D$8, ABS(B116-C116)/(2*SQRT(3)))</f>
        <v>0.11547005383792516</v>
      </c>
      <c r="G116">
        <f>(A116-335)+135.8+(Parametri!$A$5/2)</f>
        <v>725.8</v>
      </c>
      <c r="H116" s="3">
        <f>(E116-192)-('Dati (2)'!A116-Parametri!$A$11)+Parametri!$A$2</f>
        <v>67.5</v>
      </c>
      <c r="I116">
        <f t="shared" si="6"/>
        <v>0.11547005383792516</v>
      </c>
      <c r="J116">
        <f>Parametri!$D$8</f>
        <v>0.11547005383792516</v>
      </c>
    </row>
    <row r="117" spans="1:10" x14ac:dyDescent="0.3">
      <c r="A117" s="2">
        <f t="shared" si="12"/>
        <v>975</v>
      </c>
      <c r="D117">
        <f t="shared" si="5"/>
        <v>2456</v>
      </c>
      <c r="E117" s="3">
        <v>1228</v>
      </c>
      <c r="F117">
        <f>IF(C117=0, Parametri!$D$8, ABS(B117-C117)/(2*SQRT(3)))</f>
        <v>0.11547005383792516</v>
      </c>
      <c r="G117">
        <f>(A117-335)+135.8+(Parametri!$A$5/2)</f>
        <v>775.8</v>
      </c>
      <c r="H117" s="3">
        <f>(E117-192)-('Dati (2)'!A117-Parametri!$A$11)+Parametri!$A$2</f>
        <v>61</v>
      </c>
      <c r="I117">
        <f t="shared" si="6"/>
        <v>0.11547005383792516</v>
      </c>
      <c r="J117">
        <f>Parametri!$D$8</f>
        <v>0.11547005383792516</v>
      </c>
    </row>
    <row r="118" spans="1:10" x14ac:dyDescent="0.3">
      <c r="A118" s="2">
        <f t="shared" si="12"/>
        <v>1025</v>
      </c>
      <c r="D118">
        <f t="shared" si="5"/>
        <v>2550</v>
      </c>
      <c r="E118" s="3">
        <v>1275</v>
      </c>
      <c r="F118">
        <f>IF(C118=0, Parametri!$D$8, ABS(B118-C118)/(2*SQRT(3)))</f>
        <v>0.11547005383792516</v>
      </c>
      <c r="G118">
        <f>(A118-335)+135.8+(Parametri!$A$5/2)</f>
        <v>825.8</v>
      </c>
      <c r="H118" s="3">
        <f>(E118-192)-('Dati (2)'!A118-Parametri!$A$11)+Parametri!$A$2</f>
        <v>58</v>
      </c>
      <c r="I118">
        <f t="shared" si="6"/>
        <v>0.11547005383792516</v>
      </c>
      <c r="J118">
        <f>Parametri!$D$8</f>
        <v>0.11547005383792516</v>
      </c>
    </row>
    <row r="119" spans="1:10" x14ac:dyDescent="0.3">
      <c r="A119" s="2">
        <f>A118+50</f>
        <v>1075</v>
      </c>
      <c r="D119">
        <f t="shared" si="5"/>
        <v>2646</v>
      </c>
      <c r="E119" s="3">
        <v>1323</v>
      </c>
      <c r="F119">
        <f>IF(C119=0, Parametri!$D$8, ABS(B119-C119)/(2*SQRT(3)))</f>
        <v>0.11547005383792516</v>
      </c>
      <c r="G119">
        <f>(A119-335)+135.8+(Parametri!$A$5/2)</f>
        <v>875.8</v>
      </c>
      <c r="H119" s="3">
        <f>(E119-192)-('Dati (2)'!A119-Parametri!$A$11)+Parametri!$A$2</f>
        <v>56</v>
      </c>
      <c r="I119">
        <f t="shared" si="6"/>
        <v>0.11547005383792516</v>
      </c>
      <c r="J119">
        <f>Parametri!$D$8</f>
        <v>0.11547005383792516</v>
      </c>
    </row>
    <row r="120" spans="1:10" x14ac:dyDescent="0.3">
      <c r="A120" s="2">
        <f>A119+100</f>
        <v>1175</v>
      </c>
      <c r="D120">
        <f t="shared" si="5"/>
        <v>2836</v>
      </c>
      <c r="E120" s="3">
        <v>1418</v>
      </c>
      <c r="F120">
        <f>IF(C120=0, Parametri!$D$8, ABS(B120-C120)/(2*SQRT(3)))</f>
        <v>0.11547005383792516</v>
      </c>
      <c r="G120">
        <f>(A120-335)+135.8+(Parametri!$A$5/2)</f>
        <v>975.8</v>
      </c>
      <c r="H120" s="3">
        <f>(E120-192)-('Dati (2)'!A120-Parametri!$A$11)+Parametri!$A$2</f>
        <v>51</v>
      </c>
      <c r="I120">
        <f t="shared" si="6"/>
        <v>0.11547005383792516</v>
      </c>
      <c r="J120">
        <f>Parametri!$D$8</f>
        <v>0.11547005383792516</v>
      </c>
    </row>
    <row r="121" spans="1:10" x14ac:dyDescent="0.3">
      <c r="A121" s="2">
        <f t="shared" ref="A121:A125" si="13">A120+100</f>
        <v>1275</v>
      </c>
      <c r="D121">
        <f t="shared" si="5"/>
        <v>3020</v>
      </c>
      <c r="E121" s="3">
        <v>1510</v>
      </c>
      <c r="F121">
        <f>IF(C121=0, Parametri!$D$8, ABS(B121-C121)/(2*SQRT(3)))</f>
        <v>0.11547005383792516</v>
      </c>
      <c r="G121">
        <f>(A121-335)+135.8+(Parametri!$A$5/2)</f>
        <v>1075.8</v>
      </c>
      <c r="H121" s="3">
        <f>(E121-192)-('Dati (2)'!A121-Parametri!$A$11)+Parametri!$A$2</f>
        <v>43</v>
      </c>
      <c r="I121">
        <f t="shared" si="6"/>
        <v>0.11547005383792516</v>
      </c>
      <c r="J121">
        <f>Parametri!$D$8</f>
        <v>0.11547005383792516</v>
      </c>
    </row>
    <row r="122" spans="1:10" x14ac:dyDescent="0.3">
      <c r="A122" s="2">
        <f t="shared" si="13"/>
        <v>1375</v>
      </c>
      <c r="D122">
        <f t="shared" si="5"/>
        <v>3218</v>
      </c>
      <c r="E122" s="3">
        <v>1609</v>
      </c>
      <c r="F122">
        <f>IF(C122=0, Parametri!$D$8, ABS(B122-C122)/(2*SQRT(3)))</f>
        <v>0.11547005383792516</v>
      </c>
      <c r="G122">
        <f>(A122-335)+135.8+(Parametri!$A$5/2)</f>
        <v>1175.8</v>
      </c>
      <c r="H122" s="3">
        <f>(E122-192)-('Dati (2)'!A122-Parametri!$A$11)+Parametri!$A$2</f>
        <v>42</v>
      </c>
      <c r="I122">
        <f t="shared" si="6"/>
        <v>0.11547005383792516</v>
      </c>
      <c r="J122">
        <f>Parametri!$D$8</f>
        <v>0.11547005383792516</v>
      </c>
    </row>
    <row r="123" spans="1:10" x14ac:dyDescent="0.3">
      <c r="A123" s="2">
        <f t="shared" si="13"/>
        <v>1475</v>
      </c>
      <c r="D123">
        <f t="shared" si="5"/>
        <v>3414</v>
      </c>
      <c r="E123" s="3">
        <v>1707</v>
      </c>
      <c r="F123">
        <f>IF(C123=0, Parametri!$D$8, ABS(B123-C123)/(2*SQRT(3)))</f>
        <v>0.11547005383792516</v>
      </c>
      <c r="G123">
        <f>(A123-335)+135.8+(Parametri!$A$5/2)</f>
        <v>1275.8</v>
      </c>
      <c r="H123" s="3">
        <f>(E123-192)-('Dati (2)'!A123-Parametri!$A$11)+Parametri!$A$2</f>
        <v>40</v>
      </c>
      <c r="I123">
        <f t="shared" si="6"/>
        <v>0.11547005383792516</v>
      </c>
      <c r="J123">
        <f>Parametri!$D$8</f>
        <v>0.11547005383792516</v>
      </c>
    </row>
    <row r="124" spans="1:10" x14ac:dyDescent="0.3">
      <c r="A124" s="2">
        <f t="shared" si="13"/>
        <v>1575</v>
      </c>
      <c r="D124">
        <f t="shared" si="5"/>
        <v>3606</v>
      </c>
      <c r="E124" s="3">
        <v>1803</v>
      </c>
      <c r="F124">
        <f>IF(C124=0, Parametri!$D$8, ABS(B124-C124)/(2*SQRT(3)))</f>
        <v>0.11547005383792516</v>
      </c>
      <c r="G124">
        <f>(A124-335)+135.8+(Parametri!$A$5/2)</f>
        <v>1375.8</v>
      </c>
      <c r="H124" s="3">
        <f>(E124-192)-('Dati (2)'!A124-Parametri!$A$11)+Parametri!$A$2</f>
        <v>36</v>
      </c>
      <c r="I124">
        <f t="shared" si="6"/>
        <v>0.11547005383792516</v>
      </c>
      <c r="J124">
        <f>Parametri!$D$8</f>
        <v>0.11547005383792516</v>
      </c>
    </row>
    <row r="125" spans="1:10" x14ac:dyDescent="0.3">
      <c r="A125" s="2">
        <f t="shared" si="13"/>
        <v>1675</v>
      </c>
      <c r="D125">
        <f t="shared" si="5"/>
        <v>3804</v>
      </c>
      <c r="E125" s="3">
        <v>1902</v>
      </c>
      <c r="F125">
        <f>IF(C125=0, Parametri!$D$8, ABS(B125-C125)/(2*SQRT(3)))</f>
        <v>0.11547005383792516</v>
      </c>
      <c r="G125">
        <f>(A125-335)+135.8+(Parametri!$A$5/2)</f>
        <v>1475.8</v>
      </c>
      <c r="H125" s="3">
        <f>(E125-192)-('Dati (2)'!A125-Parametri!$A$11)+Parametri!$A$2</f>
        <v>35</v>
      </c>
      <c r="I125">
        <f t="shared" si="6"/>
        <v>0.11547005383792516</v>
      </c>
      <c r="J125">
        <f>Parametri!$D$8</f>
        <v>0.11547005383792516</v>
      </c>
    </row>
    <row r="126" spans="1:10" x14ac:dyDescent="0.3">
      <c r="H126" s="3"/>
    </row>
    <row r="127" spans="1:10" x14ac:dyDescent="0.3">
      <c r="H127" s="3"/>
    </row>
    <row r="128" spans="1:10" x14ac:dyDescent="0.3">
      <c r="H128" s="3"/>
    </row>
    <row r="129" spans="8:8" x14ac:dyDescent="0.3">
      <c r="H129" s="3"/>
    </row>
    <row r="130" spans="8:8" x14ac:dyDescent="0.3">
      <c r="H130" s="3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728D-DB7A-48AC-96F2-90D17D913CED}">
  <dimension ref="A1:J130"/>
  <sheetViews>
    <sheetView zoomScale="68" workbookViewId="0">
      <selection activeCell="H2" sqref="H2:H130"/>
    </sheetView>
  </sheetViews>
  <sheetFormatPr defaultRowHeight="14.4" x14ac:dyDescent="0.3"/>
  <sheetData>
    <row r="1" spans="1:10" x14ac:dyDescent="0.3">
      <c r="A1" t="s">
        <v>12</v>
      </c>
      <c r="B1" t="s">
        <v>21</v>
      </c>
      <c r="C1" t="s">
        <v>20</v>
      </c>
      <c r="D1" t="s">
        <v>22</v>
      </c>
      <c r="E1" t="s">
        <v>15</v>
      </c>
      <c r="F1" t="s">
        <v>14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3">
      <c r="A2" s="2">
        <v>270</v>
      </c>
      <c r="D2">
        <f>B2+2*E2</f>
        <v>0</v>
      </c>
      <c r="E2" cm="1">
        <f t="array" ref="E2">IF(C2=0, B2, MEAN(B2:C2))</f>
        <v>0</v>
      </c>
      <c r="F2">
        <f>IF(C2=0, Parametri!$D$8, ABS(B2-C2)/(2*SQRT(3)))</f>
        <v>0.11547005383792516</v>
      </c>
      <c r="G2">
        <f>(A2-Parametri!$A$11)+Parametri!$A$2+(Parametri!$A$5/2)</f>
        <v>270</v>
      </c>
      <c r="H2" s="3">
        <f>(E2-Parametri!$A$8)-(Dati!A2-Parametri!$A$11)+Parametri!$A$2</f>
        <v>-270</v>
      </c>
      <c r="I2">
        <f>F2</f>
        <v>0.11547005383792516</v>
      </c>
      <c r="J2">
        <f>Parametri!$D$8</f>
        <v>0.11547005383792516</v>
      </c>
    </row>
    <row r="3" spans="1:10" x14ac:dyDescent="0.3">
      <c r="A3" s="2">
        <f t="shared" ref="A3:A47" si="0">A2+1</f>
        <v>271</v>
      </c>
      <c r="D3">
        <f t="shared" ref="D3:D66" si="1">B3+2*E3</f>
        <v>0</v>
      </c>
      <c r="E3" cm="1">
        <f t="array" ref="E3">IF(C3=0, B3, MEAN(B3:C3))</f>
        <v>0</v>
      </c>
      <c r="F3">
        <f>IF(C3=0, Parametri!$D$8, ABS(B3-C3)/(2*SQRT(3)))</f>
        <v>0.11547005383792516</v>
      </c>
      <c r="G3">
        <f>(A3-Parametri!$A$11)+Parametri!$A$2+(Parametri!$A$5/2)</f>
        <v>271</v>
      </c>
      <c r="H3" s="3">
        <f>(E3-Parametri!$A$8)-(Dati!A3-Parametri!$A$11)+Parametri!$A$2</f>
        <v>-271</v>
      </c>
      <c r="I3">
        <f t="shared" ref="I3:I66" si="2">F3</f>
        <v>0.11547005383792516</v>
      </c>
      <c r="J3">
        <f>Parametri!$D$8</f>
        <v>0.11547005383792516</v>
      </c>
    </row>
    <row r="4" spans="1:10" x14ac:dyDescent="0.3">
      <c r="A4" s="2">
        <f t="shared" si="0"/>
        <v>272</v>
      </c>
      <c r="D4">
        <f t="shared" si="1"/>
        <v>0</v>
      </c>
      <c r="E4" cm="1">
        <f t="array" ref="E4">IF(C4=0, B4, MEAN(B4:C4))</f>
        <v>0</v>
      </c>
      <c r="F4">
        <f>IF(C4=0, Parametri!$D$8, ABS(B4-C4)/(2*SQRT(3)))</f>
        <v>0.11547005383792516</v>
      </c>
      <c r="G4">
        <f>(A4-Parametri!$A$11)+Parametri!$A$2+(Parametri!$A$5/2)</f>
        <v>272</v>
      </c>
      <c r="H4" s="3">
        <f>(E4-Parametri!$A$8)-(Dati!A4-Parametri!$A$11)+Parametri!$A$2</f>
        <v>-272</v>
      </c>
      <c r="I4">
        <f t="shared" si="2"/>
        <v>0.11547005383792516</v>
      </c>
      <c r="J4">
        <f>Parametri!$D$8</f>
        <v>0.11547005383792516</v>
      </c>
    </row>
    <row r="5" spans="1:10" x14ac:dyDescent="0.3">
      <c r="A5" s="2">
        <f t="shared" si="0"/>
        <v>273</v>
      </c>
      <c r="D5">
        <f t="shared" si="1"/>
        <v>0</v>
      </c>
      <c r="E5" cm="1">
        <f t="array" ref="E5">IF(C5=0, B5, MEAN(B5:C5))</f>
        <v>0</v>
      </c>
      <c r="F5">
        <f>IF(C5=0, Parametri!$D$8, ABS(B5-C5)/(2*SQRT(3)))</f>
        <v>0.11547005383792516</v>
      </c>
      <c r="G5">
        <f>(A5-Parametri!$A$11)+Parametri!$A$2+(Parametri!$A$5/2)</f>
        <v>273</v>
      </c>
      <c r="H5" s="3">
        <f>(E5-Parametri!$A$8)-(Dati!A5-Parametri!$A$11)+Parametri!$A$2</f>
        <v>-273</v>
      </c>
      <c r="I5">
        <f t="shared" si="2"/>
        <v>0.11547005383792516</v>
      </c>
      <c r="J5">
        <f>Parametri!$D$8</f>
        <v>0.11547005383792516</v>
      </c>
    </row>
    <row r="6" spans="1:10" x14ac:dyDescent="0.3">
      <c r="A6" s="2">
        <f t="shared" si="0"/>
        <v>274</v>
      </c>
      <c r="D6">
        <f t="shared" si="1"/>
        <v>0</v>
      </c>
      <c r="E6" cm="1">
        <f t="array" ref="E6">IF(C6=0, B6, MEAN(B6:C6))</f>
        <v>0</v>
      </c>
      <c r="F6">
        <f>IF(C6=0, Parametri!$D$8, ABS(B6-C6)/(2*SQRT(3)))</f>
        <v>0.11547005383792516</v>
      </c>
      <c r="G6">
        <f>(A6-Parametri!$A$11)+Parametri!$A$2+(Parametri!$A$5/2)</f>
        <v>274</v>
      </c>
      <c r="H6" s="3">
        <f>(E6-Parametri!$A$8)-(Dati!A6-Parametri!$A$11)+Parametri!$A$2</f>
        <v>-274</v>
      </c>
      <c r="I6">
        <f t="shared" si="2"/>
        <v>0.11547005383792516</v>
      </c>
      <c r="J6">
        <f>Parametri!$D$8</f>
        <v>0.11547005383792516</v>
      </c>
    </row>
    <row r="7" spans="1:10" x14ac:dyDescent="0.3">
      <c r="A7" s="2">
        <f t="shared" si="0"/>
        <v>275</v>
      </c>
      <c r="D7">
        <f t="shared" si="1"/>
        <v>0</v>
      </c>
      <c r="E7" cm="1">
        <f t="array" ref="E7">IF(C7=0, B7, MEAN(B7:C7))</f>
        <v>0</v>
      </c>
      <c r="F7">
        <f>IF(C7=0, Parametri!$D$8, ABS(B7-C7)/(2*SQRT(3)))</f>
        <v>0.11547005383792516</v>
      </c>
      <c r="G7">
        <f>(A7-Parametri!$A$11)+Parametri!$A$2+(Parametri!$A$5/2)</f>
        <v>275</v>
      </c>
      <c r="H7" s="3">
        <f>(E7-Parametri!$A$8)-(Dati!A7-Parametri!$A$11)+Parametri!$A$2</f>
        <v>-275</v>
      </c>
      <c r="I7">
        <f t="shared" si="2"/>
        <v>0.11547005383792516</v>
      </c>
      <c r="J7">
        <f>Parametri!$D$8</f>
        <v>0.11547005383792516</v>
      </c>
    </row>
    <row r="8" spans="1:10" x14ac:dyDescent="0.3">
      <c r="A8" s="2">
        <f t="shared" si="0"/>
        <v>276</v>
      </c>
      <c r="D8">
        <f t="shared" si="1"/>
        <v>0</v>
      </c>
      <c r="E8" cm="1">
        <f t="array" ref="E8">IF(C8=0, B8, MEAN(B8:C8))</f>
        <v>0</v>
      </c>
      <c r="F8">
        <f>IF(C8=0, Parametri!$D$8, ABS(B8-C8)/(2*SQRT(3)))</f>
        <v>0.11547005383792516</v>
      </c>
      <c r="G8">
        <f>(A8-Parametri!$A$11)+Parametri!$A$2+(Parametri!$A$5/2)</f>
        <v>276</v>
      </c>
      <c r="H8" s="3">
        <f>(E8-Parametri!$A$8)-(Dati!A8-Parametri!$A$11)+Parametri!$A$2</f>
        <v>-276</v>
      </c>
      <c r="I8">
        <f t="shared" si="2"/>
        <v>0.11547005383792516</v>
      </c>
      <c r="J8">
        <f>Parametri!$D$8</f>
        <v>0.11547005383792516</v>
      </c>
    </row>
    <row r="9" spans="1:10" x14ac:dyDescent="0.3">
      <c r="A9" s="2">
        <f t="shared" si="0"/>
        <v>277</v>
      </c>
      <c r="D9">
        <f t="shared" si="1"/>
        <v>0</v>
      </c>
      <c r="E9" cm="1">
        <f t="array" ref="E9">IF(C9=0, B9, MEAN(B9:C9))</f>
        <v>0</v>
      </c>
      <c r="F9">
        <f>IF(C9=0, Parametri!$D$8, ABS(B9-C9)/(2*SQRT(3)))</f>
        <v>0.11547005383792516</v>
      </c>
      <c r="G9">
        <f>(A9-Parametri!$A$11)+Parametri!$A$2+(Parametri!$A$5/2)</f>
        <v>277</v>
      </c>
      <c r="H9" s="3">
        <f>(E9-Parametri!$A$8)-(Dati!A9-Parametri!$A$11)+Parametri!$A$2</f>
        <v>-277</v>
      </c>
      <c r="I9">
        <f t="shared" si="2"/>
        <v>0.11547005383792516</v>
      </c>
      <c r="J9">
        <f>Parametri!$D$8</f>
        <v>0.11547005383792516</v>
      </c>
    </row>
    <row r="10" spans="1:10" x14ac:dyDescent="0.3">
      <c r="A10" s="2">
        <f t="shared" si="0"/>
        <v>278</v>
      </c>
      <c r="D10">
        <f t="shared" si="1"/>
        <v>0</v>
      </c>
      <c r="E10" cm="1">
        <f t="array" ref="E10">IF(C10=0, B10, MEAN(B10:C10))</f>
        <v>0</v>
      </c>
      <c r="F10">
        <f>IF(C10=0, Parametri!$D$8, ABS(B10-C10)/(2*SQRT(3)))</f>
        <v>0.11547005383792516</v>
      </c>
      <c r="G10">
        <f>(A10-Parametri!$A$11)+Parametri!$A$2+(Parametri!$A$5/2)</f>
        <v>278</v>
      </c>
      <c r="H10" s="3">
        <f>(E10-Parametri!$A$8)-(Dati!A10-Parametri!$A$11)+Parametri!$A$2</f>
        <v>-278</v>
      </c>
      <c r="I10">
        <f t="shared" si="2"/>
        <v>0.11547005383792516</v>
      </c>
      <c r="J10">
        <f>Parametri!$D$8</f>
        <v>0.11547005383792516</v>
      </c>
    </row>
    <row r="11" spans="1:10" x14ac:dyDescent="0.3">
      <c r="A11" s="2">
        <f t="shared" si="0"/>
        <v>279</v>
      </c>
      <c r="D11">
        <f t="shared" si="1"/>
        <v>0</v>
      </c>
      <c r="E11" cm="1">
        <f t="array" ref="E11">IF(C11=0, B11, MEAN(B11:C11))</f>
        <v>0</v>
      </c>
      <c r="F11">
        <f>IF(C11=0, Parametri!$D$8, ABS(B11-C11)/(2*SQRT(3)))</f>
        <v>0.11547005383792516</v>
      </c>
      <c r="G11">
        <f>(A11-Parametri!$A$11)+Parametri!$A$2+(Parametri!$A$5/2)</f>
        <v>279</v>
      </c>
      <c r="H11" s="3">
        <f>(E11-Parametri!$A$8)-(Dati!A11-Parametri!$A$11)+Parametri!$A$2</f>
        <v>-279</v>
      </c>
      <c r="I11">
        <f t="shared" si="2"/>
        <v>0.11547005383792516</v>
      </c>
      <c r="J11">
        <f>Parametri!$D$8</f>
        <v>0.11547005383792516</v>
      </c>
    </row>
    <row r="12" spans="1:10" x14ac:dyDescent="0.3">
      <c r="A12" s="2">
        <f t="shared" si="0"/>
        <v>280</v>
      </c>
      <c r="D12">
        <f t="shared" si="1"/>
        <v>0</v>
      </c>
      <c r="E12" cm="1">
        <f t="array" ref="E12">IF(C12=0, B12, MEAN(B12:C12))</f>
        <v>0</v>
      </c>
      <c r="F12">
        <f>IF(C12=0, Parametri!$D$8, ABS(B12-C12)/(2*SQRT(3)))</f>
        <v>0.11547005383792516</v>
      </c>
      <c r="G12">
        <f>(A12-Parametri!$A$11)+Parametri!$A$2+(Parametri!$A$5/2)</f>
        <v>280</v>
      </c>
      <c r="H12" s="3">
        <f>(E12-Parametri!$A$8)-(Dati!A12-Parametri!$A$11)+Parametri!$A$2</f>
        <v>-280</v>
      </c>
      <c r="I12">
        <f t="shared" si="2"/>
        <v>0.11547005383792516</v>
      </c>
      <c r="J12">
        <f>Parametri!$D$8</f>
        <v>0.11547005383792516</v>
      </c>
    </row>
    <row r="13" spans="1:10" x14ac:dyDescent="0.3">
      <c r="A13" s="2">
        <f t="shared" si="0"/>
        <v>281</v>
      </c>
      <c r="D13">
        <f t="shared" si="1"/>
        <v>0</v>
      </c>
      <c r="E13" cm="1">
        <f t="array" ref="E13">IF(C13=0, B13, MEAN(B13:C13))</f>
        <v>0</v>
      </c>
      <c r="F13">
        <f>IF(C13=0, Parametri!$D$8, ABS(B13-C13)/(2*SQRT(3)))</f>
        <v>0.11547005383792516</v>
      </c>
      <c r="G13">
        <f>(A13-Parametri!$A$11)+Parametri!$A$2+(Parametri!$A$5/2)</f>
        <v>281</v>
      </c>
      <c r="H13" s="3">
        <f>(E13-Parametri!$A$8)-(Dati!A13-Parametri!$A$11)+Parametri!$A$2</f>
        <v>-281</v>
      </c>
      <c r="I13">
        <f t="shared" si="2"/>
        <v>0.11547005383792516</v>
      </c>
      <c r="J13">
        <f>Parametri!$D$8</f>
        <v>0.11547005383792516</v>
      </c>
    </row>
    <row r="14" spans="1:10" x14ac:dyDescent="0.3">
      <c r="A14" s="2">
        <f t="shared" si="0"/>
        <v>282</v>
      </c>
      <c r="D14">
        <f t="shared" si="1"/>
        <v>0</v>
      </c>
      <c r="E14" cm="1">
        <f t="array" ref="E14">IF(C14=0, B14, MEAN(B14:C14))</f>
        <v>0</v>
      </c>
      <c r="F14">
        <f>IF(C14=0, Parametri!$D$8, ABS(B14-C14)/(2*SQRT(3)))</f>
        <v>0.11547005383792516</v>
      </c>
      <c r="G14">
        <f>(A14-Parametri!$A$11)+Parametri!$A$2+(Parametri!$A$5/2)</f>
        <v>282</v>
      </c>
      <c r="H14" s="3">
        <f>(E14-Parametri!$A$8)-(Dati!A14-Parametri!$A$11)+Parametri!$A$2</f>
        <v>-282</v>
      </c>
      <c r="I14">
        <f t="shared" si="2"/>
        <v>0.11547005383792516</v>
      </c>
      <c r="J14">
        <f>Parametri!$D$8</f>
        <v>0.11547005383792516</v>
      </c>
    </row>
    <row r="15" spans="1:10" x14ac:dyDescent="0.3">
      <c r="A15" s="2">
        <f t="shared" si="0"/>
        <v>283</v>
      </c>
      <c r="D15">
        <f t="shared" si="1"/>
        <v>0</v>
      </c>
      <c r="E15" cm="1">
        <f t="array" ref="E15">IF(C15=0, B15, MEAN(B15:C15))</f>
        <v>0</v>
      </c>
      <c r="F15">
        <f>IF(C15=0, Parametri!$D$8, ABS(B15-C15)/(2*SQRT(3)))</f>
        <v>0.11547005383792516</v>
      </c>
      <c r="G15">
        <f>(A15-Parametri!$A$11)+Parametri!$A$2+(Parametri!$A$5/2)</f>
        <v>283</v>
      </c>
      <c r="H15" s="3">
        <f>(E15-Parametri!$A$8)-(Dati!A15-Parametri!$A$11)+Parametri!$A$2</f>
        <v>-283</v>
      </c>
      <c r="I15">
        <f t="shared" si="2"/>
        <v>0.11547005383792516</v>
      </c>
      <c r="J15">
        <f>Parametri!$D$8</f>
        <v>0.11547005383792516</v>
      </c>
    </row>
    <row r="16" spans="1:10" x14ac:dyDescent="0.3">
      <c r="A16" s="2">
        <f t="shared" si="0"/>
        <v>284</v>
      </c>
      <c r="D16">
        <f t="shared" si="1"/>
        <v>0</v>
      </c>
      <c r="E16" cm="1">
        <f t="array" ref="E16">IF(C16=0, B16, MEAN(B16:C16))</f>
        <v>0</v>
      </c>
      <c r="F16">
        <f>IF(C16=0, Parametri!$D$8, ABS(B16-C16)/(2*SQRT(3)))</f>
        <v>0.11547005383792516</v>
      </c>
      <c r="G16">
        <f>(A16-Parametri!$A$11)+Parametri!$A$2+(Parametri!$A$5/2)</f>
        <v>284</v>
      </c>
      <c r="H16" s="3">
        <f>(E16-Parametri!$A$8)-(Dati!A16-Parametri!$A$11)+Parametri!$A$2</f>
        <v>-284</v>
      </c>
      <c r="I16">
        <f t="shared" si="2"/>
        <v>0.11547005383792516</v>
      </c>
      <c r="J16">
        <f>Parametri!$D$8</f>
        <v>0.11547005383792516</v>
      </c>
    </row>
    <row r="17" spans="1:10" x14ac:dyDescent="0.3">
      <c r="A17" s="2">
        <f t="shared" si="0"/>
        <v>285</v>
      </c>
      <c r="D17">
        <f t="shared" si="1"/>
        <v>0</v>
      </c>
      <c r="E17" cm="1">
        <f t="array" ref="E17">IF(C17=0, B17, MEAN(B17:C17))</f>
        <v>0</v>
      </c>
      <c r="F17">
        <f>IF(C17=0, Parametri!$D$8, ABS(B17-C17)/(2*SQRT(3)))</f>
        <v>0.11547005383792516</v>
      </c>
      <c r="G17">
        <f>(A17-Parametri!$A$11)+Parametri!$A$2+(Parametri!$A$5/2)</f>
        <v>285</v>
      </c>
      <c r="H17" s="3">
        <f>(E17-Parametri!$A$8)-(Dati!A17-Parametri!$A$11)+Parametri!$A$2</f>
        <v>-285</v>
      </c>
      <c r="I17">
        <f t="shared" si="2"/>
        <v>0.11547005383792516</v>
      </c>
      <c r="J17">
        <f>Parametri!$D$8</f>
        <v>0.11547005383792516</v>
      </c>
    </row>
    <row r="18" spans="1:10" x14ac:dyDescent="0.3">
      <c r="A18" s="2">
        <f t="shared" si="0"/>
        <v>286</v>
      </c>
      <c r="D18">
        <f t="shared" si="1"/>
        <v>0</v>
      </c>
      <c r="E18" cm="1">
        <f t="array" ref="E18">IF(C18=0, B18, MEAN(B18:C18))</f>
        <v>0</v>
      </c>
      <c r="F18">
        <f>IF(C18=0, Parametri!$D$8, ABS(B18-C18)/(2*SQRT(3)))</f>
        <v>0.11547005383792516</v>
      </c>
      <c r="G18">
        <f>(A18-Parametri!$A$11)+Parametri!$A$2+(Parametri!$A$5/2)</f>
        <v>286</v>
      </c>
      <c r="H18" s="3">
        <f>(E18-Parametri!$A$8)-(Dati!A18-Parametri!$A$11)+Parametri!$A$2</f>
        <v>-286</v>
      </c>
      <c r="I18">
        <f t="shared" si="2"/>
        <v>0.11547005383792516</v>
      </c>
      <c r="J18">
        <f>Parametri!$D$8</f>
        <v>0.11547005383792516</v>
      </c>
    </row>
    <row r="19" spans="1:10" x14ac:dyDescent="0.3">
      <c r="A19" s="2">
        <f t="shared" si="0"/>
        <v>287</v>
      </c>
      <c r="D19">
        <f t="shared" si="1"/>
        <v>0</v>
      </c>
      <c r="E19" cm="1">
        <f t="array" ref="E19">IF(C19=0, B19, MEAN(B19:C19))</f>
        <v>0</v>
      </c>
      <c r="F19">
        <f>IF(C19=0, Parametri!$D$8, ABS(B19-C19)/(2*SQRT(3)))</f>
        <v>0.11547005383792516</v>
      </c>
      <c r="G19">
        <f>(A19-Parametri!$A$11)+Parametri!$A$2+(Parametri!$A$5/2)</f>
        <v>287</v>
      </c>
      <c r="H19" s="3">
        <f>(E19-Parametri!$A$8)-(Dati!A19-Parametri!$A$11)+Parametri!$A$2</f>
        <v>-287</v>
      </c>
      <c r="I19">
        <f t="shared" si="2"/>
        <v>0.11547005383792516</v>
      </c>
      <c r="J19">
        <f>Parametri!$D$8</f>
        <v>0.11547005383792516</v>
      </c>
    </row>
    <row r="20" spans="1:10" x14ac:dyDescent="0.3">
      <c r="A20" s="2">
        <f t="shared" si="0"/>
        <v>288</v>
      </c>
      <c r="D20">
        <f t="shared" si="1"/>
        <v>0</v>
      </c>
      <c r="E20" cm="1">
        <f t="array" ref="E20">IF(C20=0, B20, MEAN(B20:C20))</f>
        <v>0</v>
      </c>
      <c r="F20">
        <f>IF(C20=0, Parametri!$D$8, ABS(B20-C20)/(2*SQRT(3)))</f>
        <v>0.11547005383792516</v>
      </c>
      <c r="G20">
        <f>(A20-Parametri!$A$11)+Parametri!$A$2+(Parametri!$A$5/2)</f>
        <v>288</v>
      </c>
      <c r="H20" s="3">
        <f>(E20-Parametri!$A$8)-(Dati!A20-Parametri!$A$11)+Parametri!$A$2</f>
        <v>-288</v>
      </c>
      <c r="I20">
        <f t="shared" si="2"/>
        <v>0.11547005383792516</v>
      </c>
      <c r="J20">
        <f>Parametri!$D$8</f>
        <v>0.11547005383792516</v>
      </c>
    </row>
    <row r="21" spans="1:10" x14ac:dyDescent="0.3">
      <c r="A21" s="2">
        <f t="shared" si="0"/>
        <v>289</v>
      </c>
      <c r="D21">
        <f t="shared" si="1"/>
        <v>0</v>
      </c>
      <c r="E21" cm="1">
        <f t="array" ref="E21">IF(C21=0, B21, MEAN(B21:C21))</f>
        <v>0</v>
      </c>
      <c r="F21">
        <f>IF(C21=0, Parametri!$D$8, ABS(B21-C21)/(2*SQRT(3)))</f>
        <v>0.11547005383792516</v>
      </c>
      <c r="G21">
        <f>(A21-Parametri!$A$11)+Parametri!$A$2+(Parametri!$A$5/2)</f>
        <v>289</v>
      </c>
      <c r="H21" s="3">
        <f>(E21-Parametri!$A$8)-(Dati!A21-Parametri!$A$11)+Parametri!$A$2</f>
        <v>-289</v>
      </c>
      <c r="I21">
        <f t="shared" si="2"/>
        <v>0.11547005383792516</v>
      </c>
      <c r="J21">
        <f>Parametri!$D$8</f>
        <v>0.11547005383792516</v>
      </c>
    </row>
    <row r="22" spans="1:10" x14ac:dyDescent="0.3">
      <c r="A22" s="2">
        <f t="shared" si="0"/>
        <v>290</v>
      </c>
      <c r="D22">
        <f t="shared" si="1"/>
        <v>0</v>
      </c>
      <c r="E22" cm="1">
        <f t="array" ref="E22">IF(C22=0, B22, MEAN(B22:C22))</f>
        <v>0</v>
      </c>
      <c r="F22">
        <f>IF(C22=0, Parametri!$D$8, ABS(B22-C22)/(2*SQRT(3)))</f>
        <v>0.11547005383792516</v>
      </c>
      <c r="G22">
        <f>(A22-Parametri!$A$11)+Parametri!$A$2+(Parametri!$A$5/2)</f>
        <v>290</v>
      </c>
      <c r="H22" s="3">
        <f>(E22-Parametri!$A$8)-(Dati!A22-Parametri!$A$11)+Parametri!$A$2</f>
        <v>-290</v>
      </c>
      <c r="I22">
        <f t="shared" si="2"/>
        <v>0.11547005383792516</v>
      </c>
      <c r="J22">
        <f>Parametri!$D$8</f>
        <v>0.11547005383792516</v>
      </c>
    </row>
    <row r="23" spans="1:10" x14ac:dyDescent="0.3">
      <c r="A23" s="2">
        <f t="shared" si="0"/>
        <v>291</v>
      </c>
      <c r="D23">
        <f t="shared" si="1"/>
        <v>0</v>
      </c>
      <c r="E23" cm="1">
        <f t="array" ref="E23">IF(C23=0, B23, MEAN(B23:C23))</f>
        <v>0</v>
      </c>
      <c r="F23">
        <f>IF(C23=0, Parametri!$D$8, ABS(B23-C23)/(2*SQRT(3)))</f>
        <v>0.11547005383792516</v>
      </c>
      <c r="G23">
        <f>(A23-Parametri!$A$11)+Parametri!$A$2+(Parametri!$A$5/2)</f>
        <v>291</v>
      </c>
      <c r="H23" s="3">
        <f>(E23-Parametri!$A$8)-(Dati!A23-Parametri!$A$11)+Parametri!$A$2</f>
        <v>-291</v>
      </c>
      <c r="I23">
        <f t="shared" si="2"/>
        <v>0.11547005383792516</v>
      </c>
      <c r="J23">
        <f>Parametri!$D$8</f>
        <v>0.11547005383792516</v>
      </c>
    </row>
    <row r="24" spans="1:10" x14ac:dyDescent="0.3">
      <c r="A24" s="2">
        <f t="shared" si="0"/>
        <v>292</v>
      </c>
      <c r="D24">
        <f t="shared" si="1"/>
        <v>0</v>
      </c>
      <c r="E24" cm="1">
        <f t="array" ref="E24">IF(C24=0, B24, MEAN(B24:C24))</f>
        <v>0</v>
      </c>
      <c r="F24">
        <f>IF(C24=0, Parametri!$D$8, ABS(B24-C24)/(2*SQRT(3)))</f>
        <v>0.11547005383792516</v>
      </c>
      <c r="G24">
        <f>(A24-Parametri!$A$11)+Parametri!$A$2+(Parametri!$A$5/2)</f>
        <v>292</v>
      </c>
      <c r="H24" s="3">
        <f>(E24-Parametri!$A$8)-(Dati!A24-Parametri!$A$11)+Parametri!$A$2</f>
        <v>-292</v>
      </c>
      <c r="I24">
        <f t="shared" si="2"/>
        <v>0.11547005383792516</v>
      </c>
      <c r="J24">
        <f>Parametri!$D$8</f>
        <v>0.11547005383792516</v>
      </c>
    </row>
    <row r="25" spans="1:10" x14ac:dyDescent="0.3">
      <c r="A25" s="2">
        <f t="shared" si="0"/>
        <v>293</v>
      </c>
      <c r="D25">
        <f t="shared" si="1"/>
        <v>0</v>
      </c>
      <c r="E25" cm="1">
        <f t="array" ref="E25">IF(C25=0, B25, MEAN(B25:C25))</f>
        <v>0</v>
      </c>
      <c r="F25">
        <f>IF(C25=0, Parametri!$D$8, ABS(B25-C25)/(2*SQRT(3)))</f>
        <v>0.11547005383792516</v>
      </c>
      <c r="G25">
        <f>(A25-Parametri!$A$11)+Parametri!$A$2+(Parametri!$A$5/2)</f>
        <v>293</v>
      </c>
      <c r="H25" s="3">
        <f>(E25-Parametri!$A$8)-(Dati!A25-Parametri!$A$11)+Parametri!$A$2</f>
        <v>-293</v>
      </c>
      <c r="I25">
        <f t="shared" si="2"/>
        <v>0.11547005383792516</v>
      </c>
      <c r="J25">
        <f>Parametri!$D$8</f>
        <v>0.11547005383792516</v>
      </c>
    </row>
    <row r="26" spans="1:10" x14ac:dyDescent="0.3">
      <c r="A26" s="2">
        <f t="shared" si="0"/>
        <v>294</v>
      </c>
      <c r="D26">
        <f t="shared" si="1"/>
        <v>0</v>
      </c>
      <c r="E26" cm="1">
        <f t="array" ref="E26">IF(C26=0, B26, MEAN(B26:C26))</f>
        <v>0</v>
      </c>
      <c r="F26">
        <f>IF(C26=0, Parametri!$D$8, ABS(B26-C26)/(2*SQRT(3)))</f>
        <v>0.11547005383792516</v>
      </c>
      <c r="G26">
        <f>(A26-Parametri!$A$11)+Parametri!$A$2+(Parametri!$A$5/2)</f>
        <v>294</v>
      </c>
      <c r="H26" s="3">
        <f>(E26-Parametri!$A$8)-(Dati!A26-Parametri!$A$11)+Parametri!$A$2</f>
        <v>-294</v>
      </c>
      <c r="I26">
        <f t="shared" si="2"/>
        <v>0.11547005383792516</v>
      </c>
      <c r="J26">
        <f>Parametri!$D$8</f>
        <v>0.11547005383792516</v>
      </c>
    </row>
    <row r="27" spans="1:10" x14ac:dyDescent="0.3">
      <c r="A27" s="2">
        <f t="shared" si="0"/>
        <v>295</v>
      </c>
      <c r="D27">
        <f t="shared" si="1"/>
        <v>0</v>
      </c>
      <c r="E27" cm="1">
        <f t="array" ref="E27">IF(C27=0, B27, MEAN(B27:C27))</f>
        <v>0</v>
      </c>
      <c r="F27">
        <f>IF(C27=0, Parametri!$D$8, ABS(B27-C27)/(2*SQRT(3)))</f>
        <v>0.11547005383792516</v>
      </c>
      <c r="G27">
        <f>(A27-Parametri!$A$11)+Parametri!$A$2+(Parametri!$A$5/2)</f>
        <v>295</v>
      </c>
      <c r="H27" s="3">
        <f>(E27-Parametri!$A$8)-(Dati!A27-Parametri!$A$11)+Parametri!$A$2</f>
        <v>-295</v>
      </c>
      <c r="I27">
        <f t="shared" si="2"/>
        <v>0.11547005383792516</v>
      </c>
      <c r="J27">
        <f>Parametri!$D$8</f>
        <v>0.11547005383792516</v>
      </c>
    </row>
    <row r="28" spans="1:10" x14ac:dyDescent="0.3">
      <c r="A28" s="2">
        <f t="shared" si="0"/>
        <v>296</v>
      </c>
      <c r="D28">
        <f t="shared" si="1"/>
        <v>0</v>
      </c>
      <c r="E28" cm="1">
        <f t="array" ref="E28">IF(C28=0, B28, MEAN(B28:C28))</f>
        <v>0</v>
      </c>
      <c r="F28">
        <f>IF(C28=0, Parametri!$D$8, ABS(B28-C28)/(2*SQRT(3)))</f>
        <v>0.11547005383792516</v>
      </c>
      <c r="G28">
        <f>(A28-Parametri!$A$11)+Parametri!$A$2+(Parametri!$A$5/2)</f>
        <v>296</v>
      </c>
      <c r="H28" s="3">
        <f>(E28-Parametri!$A$8)-(Dati!A28-Parametri!$A$11)+Parametri!$A$2</f>
        <v>-296</v>
      </c>
      <c r="I28">
        <f t="shared" si="2"/>
        <v>0.11547005383792516</v>
      </c>
      <c r="J28">
        <f>Parametri!$D$8</f>
        <v>0.11547005383792516</v>
      </c>
    </row>
    <row r="29" spans="1:10" x14ac:dyDescent="0.3">
      <c r="A29" s="2">
        <f t="shared" si="0"/>
        <v>297</v>
      </c>
      <c r="D29">
        <f t="shared" si="1"/>
        <v>0</v>
      </c>
      <c r="E29" cm="1">
        <f t="array" ref="E29">IF(C29=0, B29, MEAN(B29:C29))</f>
        <v>0</v>
      </c>
      <c r="F29">
        <f>IF(C29=0, Parametri!$D$8, ABS(B29-C29)/(2*SQRT(3)))</f>
        <v>0.11547005383792516</v>
      </c>
      <c r="G29">
        <f>(A29-Parametri!$A$11)+Parametri!$A$2+(Parametri!$A$5/2)</f>
        <v>297</v>
      </c>
      <c r="H29" s="3">
        <f>(E29-Parametri!$A$8)-(Dati!A29-Parametri!$A$11)+Parametri!$A$2</f>
        <v>-297</v>
      </c>
      <c r="I29">
        <f t="shared" si="2"/>
        <v>0.11547005383792516</v>
      </c>
      <c r="J29">
        <f>Parametri!$D$8</f>
        <v>0.11547005383792516</v>
      </c>
    </row>
    <row r="30" spans="1:10" x14ac:dyDescent="0.3">
      <c r="A30" s="2">
        <f t="shared" si="0"/>
        <v>298</v>
      </c>
      <c r="D30">
        <f t="shared" si="1"/>
        <v>0</v>
      </c>
      <c r="E30" cm="1">
        <f t="array" ref="E30">IF(C30=0, B30, MEAN(B30:C30))</f>
        <v>0</v>
      </c>
      <c r="F30">
        <f>IF(C30=0, Parametri!$D$8, ABS(B30-C30)/(2*SQRT(3)))</f>
        <v>0.11547005383792516</v>
      </c>
      <c r="G30">
        <f>(A30-Parametri!$A$11)+Parametri!$A$2+(Parametri!$A$5/2)</f>
        <v>298</v>
      </c>
      <c r="H30" s="3">
        <f>(E30-Parametri!$A$8)-(Dati!A30-Parametri!$A$11)+Parametri!$A$2</f>
        <v>-298</v>
      </c>
      <c r="I30">
        <f t="shared" si="2"/>
        <v>0.11547005383792516</v>
      </c>
      <c r="J30">
        <f>Parametri!$D$8</f>
        <v>0.11547005383792516</v>
      </c>
    </row>
    <row r="31" spans="1:10" x14ac:dyDescent="0.3">
      <c r="A31" s="2">
        <f t="shared" si="0"/>
        <v>299</v>
      </c>
      <c r="D31">
        <f t="shared" si="1"/>
        <v>0</v>
      </c>
      <c r="E31" cm="1">
        <f t="array" ref="E31">IF(C31=0, B31, MEAN(B31:C31))</f>
        <v>0</v>
      </c>
      <c r="F31">
        <f>IF(C31=0, Parametri!$D$8, ABS(B31-C31)/(2*SQRT(3)))</f>
        <v>0.11547005383792516</v>
      </c>
      <c r="G31">
        <f>(A31-Parametri!$A$11)+Parametri!$A$2+(Parametri!$A$5/2)</f>
        <v>299</v>
      </c>
      <c r="H31" s="3">
        <f>(E31-Parametri!$A$8)-(Dati!A31-Parametri!$A$11)+Parametri!$A$2</f>
        <v>-299</v>
      </c>
      <c r="I31">
        <f t="shared" si="2"/>
        <v>0.11547005383792516</v>
      </c>
      <c r="J31">
        <f>Parametri!$D$8</f>
        <v>0.11547005383792516</v>
      </c>
    </row>
    <row r="32" spans="1:10" x14ac:dyDescent="0.3">
      <c r="A32" s="2">
        <f t="shared" si="0"/>
        <v>300</v>
      </c>
      <c r="D32">
        <f t="shared" si="1"/>
        <v>0</v>
      </c>
      <c r="E32" cm="1">
        <f t="array" ref="E32">IF(C32=0, B32, MEAN(B32:C32))</f>
        <v>0</v>
      </c>
      <c r="F32">
        <f>IF(C32=0, Parametri!$D$8, ABS(B32-C32)/(2*SQRT(3)))</f>
        <v>0.11547005383792516</v>
      </c>
      <c r="G32">
        <f>(A32-Parametri!$A$11)+Parametri!$A$2+(Parametri!$A$5/2)</f>
        <v>300</v>
      </c>
      <c r="H32" s="3">
        <f>(E32-Parametri!$A$8)-(Dati!A32-Parametri!$A$11)+Parametri!$A$2</f>
        <v>-300</v>
      </c>
      <c r="I32">
        <f t="shared" si="2"/>
        <v>0.11547005383792516</v>
      </c>
      <c r="J32">
        <f>Parametri!$D$8</f>
        <v>0.11547005383792516</v>
      </c>
    </row>
    <row r="33" spans="1:10" x14ac:dyDescent="0.3">
      <c r="A33" s="2">
        <f t="shared" si="0"/>
        <v>301</v>
      </c>
      <c r="D33">
        <f t="shared" si="1"/>
        <v>0</v>
      </c>
      <c r="E33" cm="1">
        <f t="array" ref="E33">IF(C33=0, B33, MEAN(B33:C33))</f>
        <v>0</v>
      </c>
      <c r="F33">
        <f>IF(C33=0, Parametri!$D$8, ABS(B33-C33)/(2*SQRT(3)))</f>
        <v>0.11547005383792516</v>
      </c>
      <c r="G33">
        <f>(A33-Parametri!$A$11)+Parametri!$A$2+(Parametri!$A$5/2)</f>
        <v>301</v>
      </c>
      <c r="H33" s="3">
        <f>(E33-Parametri!$A$8)-(Dati!A33-Parametri!$A$11)+Parametri!$A$2</f>
        <v>-301</v>
      </c>
      <c r="I33">
        <f t="shared" si="2"/>
        <v>0.11547005383792516</v>
      </c>
      <c r="J33">
        <f>Parametri!$D$8</f>
        <v>0.11547005383792516</v>
      </c>
    </row>
    <row r="34" spans="1:10" x14ac:dyDescent="0.3">
      <c r="A34" s="2">
        <f t="shared" si="0"/>
        <v>302</v>
      </c>
      <c r="D34">
        <f t="shared" si="1"/>
        <v>0</v>
      </c>
      <c r="E34" cm="1">
        <f t="array" ref="E34">IF(C34=0, B34, MEAN(B34:C34))</f>
        <v>0</v>
      </c>
      <c r="F34">
        <f>IF(C34=0, Parametri!$D$8, ABS(B34-C34)/(2*SQRT(3)))</f>
        <v>0.11547005383792516</v>
      </c>
      <c r="G34">
        <f>(A34-Parametri!$A$11)+Parametri!$A$2+(Parametri!$A$5/2)</f>
        <v>302</v>
      </c>
      <c r="H34" s="3">
        <f>(E34-Parametri!$A$8)-(Dati!A34-Parametri!$A$11)+Parametri!$A$2</f>
        <v>-302</v>
      </c>
      <c r="I34">
        <f t="shared" si="2"/>
        <v>0.11547005383792516</v>
      </c>
      <c r="J34">
        <f>Parametri!$D$8</f>
        <v>0.11547005383792516</v>
      </c>
    </row>
    <row r="35" spans="1:10" x14ac:dyDescent="0.3">
      <c r="A35" s="2">
        <f t="shared" si="0"/>
        <v>303</v>
      </c>
      <c r="D35">
        <f t="shared" si="1"/>
        <v>0</v>
      </c>
      <c r="E35" cm="1">
        <f t="array" ref="E35">IF(C35=0, B35, MEAN(B35:C35))</f>
        <v>0</v>
      </c>
      <c r="F35">
        <f>IF(C35=0, Parametri!$D$8, ABS(B35-C35)/(2*SQRT(3)))</f>
        <v>0.11547005383792516</v>
      </c>
      <c r="G35">
        <f>(A35-Parametri!$A$11)+Parametri!$A$2+(Parametri!$A$5/2)</f>
        <v>303</v>
      </c>
      <c r="H35" s="3">
        <f>(E35-Parametri!$A$8)-(Dati!A35-Parametri!$A$11)+Parametri!$A$2</f>
        <v>-303</v>
      </c>
      <c r="I35">
        <f t="shared" si="2"/>
        <v>0.11547005383792516</v>
      </c>
      <c r="J35">
        <f>Parametri!$D$8</f>
        <v>0.11547005383792516</v>
      </c>
    </row>
    <row r="36" spans="1:10" x14ac:dyDescent="0.3">
      <c r="A36" s="2">
        <f t="shared" si="0"/>
        <v>304</v>
      </c>
      <c r="D36">
        <f t="shared" si="1"/>
        <v>0</v>
      </c>
      <c r="E36" cm="1">
        <f t="array" ref="E36">IF(C36=0, B36, MEAN(B36:C36))</f>
        <v>0</v>
      </c>
      <c r="F36">
        <f>IF(C36=0, Parametri!$D$8, ABS(B36-C36)/(2*SQRT(3)))</f>
        <v>0.11547005383792516</v>
      </c>
      <c r="G36">
        <f>(A36-Parametri!$A$11)+Parametri!$A$2+(Parametri!$A$5/2)</f>
        <v>304</v>
      </c>
      <c r="H36" s="3">
        <f>(E36-Parametri!$A$8)-(Dati!A36-Parametri!$A$11)+Parametri!$A$2</f>
        <v>-304</v>
      </c>
      <c r="I36">
        <f t="shared" si="2"/>
        <v>0.11547005383792516</v>
      </c>
      <c r="J36">
        <f>Parametri!$D$8</f>
        <v>0.11547005383792516</v>
      </c>
    </row>
    <row r="37" spans="1:10" x14ac:dyDescent="0.3">
      <c r="A37" s="2">
        <f t="shared" si="0"/>
        <v>305</v>
      </c>
      <c r="D37">
        <f t="shared" si="1"/>
        <v>0</v>
      </c>
      <c r="E37" cm="1">
        <f t="array" ref="E37">IF(C37=0, B37, MEAN(B37:C37))</f>
        <v>0</v>
      </c>
      <c r="F37">
        <f>IF(C37=0, Parametri!$D$8, ABS(B37-C37)/(2*SQRT(3)))</f>
        <v>0.11547005383792516</v>
      </c>
      <c r="G37">
        <f>(A37-Parametri!$A$11)+Parametri!$A$2+(Parametri!$A$5/2)</f>
        <v>305</v>
      </c>
      <c r="H37" s="3">
        <f>(E37-Parametri!$A$8)-(Dati!A37-Parametri!$A$11)+Parametri!$A$2</f>
        <v>-305</v>
      </c>
      <c r="I37">
        <f t="shared" si="2"/>
        <v>0.11547005383792516</v>
      </c>
      <c r="J37">
        <f>Parametri!$D$8</f>
        <v>0.11547005383792516</v>
      </c>
    </row>
    <row r="38" spans="1:10" x14ac:dyDescent="0.3">
      <c r="A38" s="2">
        <f t="shared" si="0"/>
        <v>306</v>
      </c>
      <c r="D38">
        <f t="shared" si="1"/>
        <v>0</v>
      </c>
      <c r="E38" cm="1">
        <f t="array" ref="E38">IF(C38=0, B38, MEAN(B38:C38))</f>
        <v>0</v>
      </c>
      <c r="F38">
        <f>IF(C38=0, Parametri!$D$8, ABS(B38-C38)/(2*SQRT(3)))</f>
        <v>0.11547005383792516</v>
      </c>
      <c r="G38">
        <f>(A38-Parametri!$A$11)+Parametri!$A$2+(Parametri!$A$5/2)</f>
        <v>306</v>
      </c>
      <c r="H38" s="3">
        <f>(E38-Parametri!$A$8)-(Dati!A38-Parametri!$A$11)+Parametri!$A$2</f>
        <v>-306</v>
      </c>
      <c r="I38">
        <f t="shared" si="2"/>
        <v>0.11547005383792516</v>
      </c>
      <c r="J38">
        <f>Parametri!$D$8</f>
        <v>0.11547005383792516</v>
      </c>
    </row>
    <row r="39" spans="1:10" x14ac:dyDescent="0.3">
      <c r="A39" s="2">
        <f t="shared" si="0"/>
        <v>307</v>
      </c>
      <c r="D39">
        <f t="shared" si="1"/>
        <v>0</v>
      </c>
      <c r="E39" cm="1">
        <f t="array" ref="E39">IF(C39=0, B39, MEAN(B39:C39))</f>
        <v>0</v>
      </c>
      <c r="F39">
        <f>IF(C39=0, Parametri!$D$8, ABS(B39-C39)/(2*SQRT(3)))</f>
        <v>0.11547005383792516</v>
      </c>
      <c r="G39">
        <f>(A39-Parametri!$A$11)+Parametri!$A$2+(Parametri!$A$5/2)</f>
        <v>307</v>
      </c>
      <c r="H39" s="3">
        <f>(E39-Parametri!$A$8)-(Dati!A39-Parametri!$A$11)+Parametri!$A$2</f>
        <v>-307</v>
      </c>
      <c r="I39">
        <f t="shared" si="2"/>
        <v>0.11547005383792516</v>
      </c>
      <c r="J39">
        <f>Parametri!$D$8</f>
        <v>0.11547005383792516</v>
      </c>
    </row>
    <row r="40" spans="1:10" x14ac:dyDescent="0.3">
      <c r="A40" s="2">
        <f t="shared" si="0"/>
        <v>308</v>
      </c>
      <c r="D40">
        <f t="shared" si="1"/>
        <v>0</v>
      </c>
      <c r="E40" cm="1">
        <f t="array" ref="E40">IF(C40=0, B40, MEAN(B40:C40))</f>
        <v>0</v>
      </c>
      <c r="F40">
        <f>IF(C40=0, Parametri!$D$8, ABS(B40-C40)/(2*SQRT(3)))</f>
        <v>0.11547005383792516</v>
      </c>
      <c r="G40">
        <f>(A40-Parametri!$A$11)+Parametri!$A$2+(Parametri!$A$5/2)</f>
        <v>308</v>
      </c>
      <c r="H40" s="3">
        <f>(E40-Parametri!$A$8)-(Dati!A40-Parametri!$A$11)+Parametri!$A$2</f>
        <v>-308</v>
      </c>
      <c r="I40">
        <f t="shared" si="2"/>
        <v>0.11547005383792516</v>
      </c>
      <c r="J40">
        <f>Parametri!$D$8</f>
        <v>0.11547005383792516</v>
      </c>
    </row>
    <row r="41" spans="1:10" x14ac:dyDescent="0.3">
      <c r="A41" s="2">
        <f t="shared" si="0"/>
        <v>309</v>
      </c>
      <c r="D41">
        <f t="shared" si="1"/>
        <v>0</v>
      </c>
      <c r="E41" cm="1">
        <f t="array" ref="E41">IF(C41=0, B41, MEAN(B41:C41))</f>
        <v>0</v>
      </c>
      <c r="F41">
        <f>IF(C41=0, Parametri!$D$8, ABS(B41-C41)/(2*SQRT(3)))</f>
        <v>0.11547005383792516</v>
      </c>
      <c r="G41">
        <f>(A41-Parametri!$A$11)+Parametri!$A$2+(Parametri!$A$5/2)</f>
        <v>309</v>
      </c>
      <c r="H41" s="3">
        <f>(E41-Parametri!$A$8)-(Dati!A41-Parametri!$A$11)+Parametri!$A$2</f>
        <v>-309</v>
      </c>
      <c r="I41">
        <f t="shared" si="2"/>
        <v>0.11547005383792516</v>
      </c>
      <c r="J41">
        <f>Parametri!$D$8</f>
        <v>0.11547005383792516</v>
      </c>
    </row>
    <row r="42" spans="1:10" x14ac:dyDescent="0.3">
      <c r="A42" s="2">
        <f t="shared" si="0"/>
        <v>310</v>
      </c>
      <c r="D42">
        <f t="shared" si="1"/>
        <v>0</v>
      </c>
      <c r="E42" cm="1">
        <f t="array" ref="E42">IF(C42=0, B42, MEAN(B42:C42))</f>
        <v>0</v>
      </c>
      <c r="F42">
        <f>IF(C42=0, Parametri!$D$8, ABS(B42-C42)/(2*SQRT(3)))</f>
        <v>0.11547005383792516</v>
      </c>
      <c r="G42">
        <f>(A42-Parametri!$A$11)+Parametri!$A$2+(Parametri!$A$5/2)</f>
        <v>310</v>
      </c>
      <c r="H42" s="3">
        <f>(E42-Parametri!$A$8)-(Dati!A42-Parametri!$A$11)+Parametri!$A$2</f>
        <v>-310</v>
      </c>
      <c r="I42">
        <f t="shared" si="2"/>
        <v>0.11547005383792516</v>
      </c>
      <c r="J42">
        <f>Parametri!$D$8</f>
        <v>0.11547005383792516</v>
      </c>
    </row>
    <row r="43" spans="1:10" x14ac:dyDescent="0.3">
      <c r="A43" s="2">
        <f t="shared" si="0"/>
        <v>311</v>
      </c>
      <c r="D43">
        <f t="shared" si="1"/>
        <v>0</v>
      </c>
      <c r="E43" cm="1">
        <f t="array" ref="E43">IF(C43=0, B43, MEAN(B43:C43))</f>
        <v>0</v>
      </c>
      <c r="F43">
        <f>IF(C43=0, Parametri!$D$8, ABS(B43-C43)/(2*SQRT(3)))</f>
        <v>0.11547005383792516</v>
      </c>
      <c r="G43">
        <f>(A43-Parametri!$A$11)+Parametri!$A$2+(Parametri!$A$5/2)</f>
        <v>311</v>
      </c>
      <c r="H43" s="3">
        <f>(E43-Parametri!$A$8)-(Dati!A43-Parametri!$A$11)+Parametri!$A$2</f>
        <v>-311</v>
      </c>
      <c r="I43">
        <f t="shared" si="2"/>
        <v>0.11547005383792516</v>
      </c>
      <c r="J43">
        <f>Parametri!$D$8</f>
        <v>0.11547005383792516</v>
      </c>
    </row>
    <row r="44" spans="1:10" x14ac:dyDescent="0.3">
      <c r="A44" s="2">
        <f t="shared" si="0"/>
        <v>312</v>
      </c>
      <c r="D44">
        <f t="shared" si="1"/>
        <v>0</v>
      </c>
      <c r="E44" cm="1">
        <f t="array" ref="E44">IF(C44=0, B44, MEAN(B44:C44))</f>
        <v>0</v>
      </c>
      <c r="F44">
        <f>IF(C44=0, Parametri!$D$8, ABS(B44-C44)/(2*SQRT(3)))</f>
        <v>0.11547005383792516</v>
      </c>
      <c r="G44">
        <f>(A44-Parametri!$A$11)+Parametri!$A$2+(Parametri!$A$5/2)</f>
        <v>312</v>
      </c>
      <c r="H44" s="3">
        <f>(E44-Parametri!$A$8)-(Dati!A44-Parametri!$A$11)+Parametri!$A$2</f>
        <v>-312</v>
      </c>
      <c r="I44">
        <f t="shared" si="2"/>
        <v>0.11547005383792516</v>
      </c>
      <c r="J44">
        <f>Parametri!$D$8</f>
        <v>0.11547005383792516</v>
      </c>
    </row>
    <row r="45" spans="1:10" x14ac:dyDescent="0.3">
      <c r="A45" s="2">
        <f t="shared" si="0"/>
        <v>313</v>
      </c>
      <c r="D45">
        <f t="shared" si="1"/>
        <v>0</v>
      </c>
      <c r="E45" cm="1">
        <f t="array" ref="E45">IF(C45=0, B45, MEAN(B45:C45))</f>
        <v>0</v>
      </c>
      <c r="F45">
        <f>IF(C45=0, Parametri!$D$8, ABS(B45-C45)/(2*SQRT(3)))</f>
        <v>0.11547005383792516</v>
      </c>
      <c r="G45">
        <f>(A45-Parametri!$A$11)+Parametri!$A$2+(Parametri!$A$5/2)</f>
        <v>313</v>
      </c>
      <c r="H45" s="3">
        <f>(E45-Parametri!$A$8)-(Dati!A45-Parametri!$A$11)+Parametri!$A$2</f>
        <v>-313</v>
      </c>
      <c r="I45">
        <f t="shared" si="2"/>
        <v>0.11547005383792516</v>
      </c>
      <c r="J45">
        <f>Parametri!$D$8</f>
        <v>0.11547005383792516</v>
      </c>
    </row>
    <row r="46" spans="1:10" x14ac:dyDescent="0.3">
      <c r="A46" s="2">
        <f t="shared" si="0"/>
        <v>314</v>
      </c>
      <c r="D46">
        <f t="shared" si="1"/>
        <v>0</v>
      </c>
      <c r="E46" cm="1">
        <f t="array" ref="E46">IF(C46=0, B46, MEAN(B46:C46))</f>
        <v>0</v>
      </c>
      <c r="F46">
        <f>IF(C46=0, Parametri!$D$8, ABS(B46-C46)/(2*SQRT(3)))</f>
        <v>0.11547005383792516</v>
      </c>
      <c r="G46">
        <f>(A46-Parametri!$A$11)+Parametri!$A$2+(Parametri!$A$5/2)</f>
        <v>314</v>
      </c>
      <c r="H46" s="3">
        <f>(E46-Parametri!$A$8)-(Dati!A46-Parametri!$A$11)+Parametri!$A$2</f>
        <v>-314</v>
      </c>
      <c r="I46">
        <f t="shared" si="2"/>
        <v>0.11547005383792516</v>
      </c>
      <c r="J46">
        <f>Parametri!$D$8</f>
        <v>0.11547005383792516</v>
      </c>
    </row>
    <row r="47" spans="1:10" x14ac:dyDescent="0.3">
      <c r="A47" s="2">
        <f t="shared" si="0"/>
        <v>315</v>
      </c>
      <c r="D47">
        <f t="shared" si="1"/>
        <v>0</v>
      </c>
      <c r="E47" cm="1">
        <f t="array" ref="E47">IF(C47=0, B47, MEAN(B47:C47))</f>
        <v>0</v>
      </c>
      <c r="F47">
        <f>IF(C47=0, Parametri!$D$8, ABS(B47-C47)/(2*SQRT(3)))</f>
        <v>0.11547005383792516</v>
      </c>
      <c r="G47">
        <f>(A47-Parametri!$A$11)+Parametri!$A$2+(Parametri!$A$5/2)</f>
        <v>315</v>
      </c>
      <c r="H47" s="3">
        <f>(E47-Parametri!$A$8)-(Dati!A47-Parametri!$A$11)+Parametri!$A$2</f>
        <v>-315</v>
      </c>
      <c r="I47">
        <f t="shared" si="2"/>
        <v>0.11547005383792516</v>
      </c>
      <c r="J47">
        <f>Parametri!$D$8</f>
        <v>0.11547005383792516</v>
      </c>
    </row>
    <row r="48" spans="1:10" x14ac:dyDescent="0.3">
      <c r="A48" s="2">
        <f>A47+2</f>
        <v>317</v>
      </c>
      <c r="D48">
        <f t="shared" si="1"/>
        <v>0</v>
      </c>
      <c r="E48" cm="1">
        <f t="array" ref="E48">IF(C48=0, B48, MEAN(B48:C48))</f>
        <v>0</v>
      </c>
      <c r="F48">
        <f>IF(C48=0, Parametri!$D$8, ABS(B48-C48)/(2*SQRT(3)))</f>
        <v>0.11547005383792516</v>
      </c>
      <c r="G48">
        <f>(A48-Parametri!$A$11)+Parametri!$A$2+(Parametri!$A$5/2)</f>
        <v>317</v>
      </c>
      <c r="H48" s="3">
        <f>(E48-Parametri!$A$8)-(Dati!A48-Parametri!$A$11)+Parametri!$A$2</f>
        <v>-317</v>
      </c>
      <c r="I48">
        <f t="shared" si="2"/>
        <v>0.11547005383792516</v>
      </c>
      <c r="J48">
        <f>Parametri!$D$8</f>
        <v>0.11547005383792516</v>
      </c>
    </row>
    <row r="49" spans="1:10" x14ac:dyDescent="0.3">
      <c r="A49" s="2">
        <f t="shared" ref="A49:A65" si="3">A48+2</f>
        <v>319</v>
      </c>
      <c r="D49">
        <f t="shared" si="1"/>
        <v>0</v>
      </c>
      <c r="E49" cm="1">
        <f t="array" ref="E49">IF(C49=0, B49, MEAN(B49:C49))</f>
        <v>0</v>
      </c>
      <c r="F49">
        <f>IF(C49=0, Parametri!$D$8, ABS(B49-C49)/(2*SQRT(3)))</f>
        <v>0.11547005383792516</v>
      </c>
      <c r="G49">
        <f>(A49-Parametri!$A$11)+Parametri!$A$2+(Parametri!$A$5/2)</f>
        <v>319</v>
      </c>
      <c r="H49" s="3">
        <f>(E49-Parametri!$A$8)-(Dati!A49-Parametri!$A$11)+Parametri!$A$2</f>
        <v>-319</v>
      </c>
      <c r="I49">
        <f t="shared" si="2"/>
        <v>0.11547005383792516</v>
      </c>
      <c r="J49">
        <f>Parametri!$D$8</f>
        <v>0.11547005383792516</v>
      </c>
    </row>
    <row r="50" spans="1:10" x14ac:dyDescent="0.3">
      <c r="A50" s="2">
        <f t="shared" si="3"/>
        <v>321</v>
      </c>
      <c r="D50">
        <f t="shared" si="1"/>
        <v>0</v>
      </c>
      <c r="E50" cm="1">
        <f t="array" ref="E50">IF(C50=0, B50, MEAN(B50:C50))</f>
        <v>0</v>
      </c>
      <c r="F50">
        <f>IF(C50=0, Parametri!$D$8, ABS(B50-C50)/(2*SQRT(3)))</f>
        <v>0.11547005383792516</v>
      </c>
      <c r="G50">
        <f>(A50-Parametri!$A$11)+Parametri!$A$2+(Parametri!$A$5/2)</f>
        <v>321</v>
      </c>
      <c r="H50" s="3">
        <f>(E50-Parametri!$A$8)-(Dati!A50-Parametri!$A$11)+Parametri!$A$2</f>
        <v>-321</v>
      </c>
      <c r="I50">
        <f t="shared" si="2"/>
        <v>0.11547005383792516</v>
      </c>
      <c r="J50">
        <f>Parametri!$D$8</f>
        <v>0.11547005383792516</v>
      </c>
    </row>
    <row r="51" spans="1:10" x14ac:dyDescent="0.3">
      <c r="A51" s="2">
        <f t="shared" si="3"/>
        <v>323</v>
      </c>
      <c r="D51">
        <f t="shared" si="1"/>
        <v>0</v>
      </c>
      <c r="E51" cm="1">
        <f t="array" ref="E51">IF(C51=0, B51, MEAN(B51:C51))</f>
        <v>0</v>
      </c>
      <c r="F51">
        <f>IF(C51=0, Parametri!$D$8, ABS(B51-C51)/(2*SQRT(3)))</f>
        <v>0.11547005383792516</v>
      </c>
      <c r="G51">
        <f>(A51-Parametri!$A$11)+Parametri!$A$2+(Parametri!$A$5/2)</f>
        <v>323</v>
      </c>
      <c r="H51" s="3">
        <f>(E51-Parametri!$A$8)-(Dati!A51-Parametri!$A$11)+Parametri!$A$2</f>
        <v>-323</v>
      </c>
      <c r="I51">
        <f t="shared" si="2"/>
        <v>0.11547005383792516</v>
      </c>
      <c r="J51">
        <f>Parametri!$D$8</f>
        <v>0.11547005383792516</v>
      </c>
    </row>
    <row r="52" spans="1:10" x14ac:dyDescent="0.3">
      <c r="A52" s="2">
        <f t="shared" si="3"/>
        <v>325</v>
      </c>
      <c r="D52">
        <f t="shared" si="1"/>
        <v>0</v>
      </c>
      <c r="E52" cm="1">
        <f t="array" ref="E52">IF(C52=0, B52, MEAN(B52:C52))</f>
        <v>0</v>
      </c>
      <c r="F52">
        <f>IF(C52=0, Parametri!$D$8, ABS(B52-C52)/(2*SQRT(3)))</f>
        <v>0.11547005383792516</v>
      </c>
      <c r="G52">
        <f>(A52-Parametri!$A$11)+Parametri!$A$2+(Parametri!$A$5/2)</f>
        <v>325</v>
      </c>
      <c r="H52" s="3">
        <f>(E52-Parametri!$A$8)-(Dati!A52-Parametri!$A$11)+Parametri!$A$2</f>
        <v>-325</v>
      </c>
      <c r="I52">
        <f t="shared" si="2"/>
        <v>0.11547005383792516</v>
      </c>
      <c r="J52">
        <f>Parametri!$D$8</f>
        <v>0.11547005383792516</v>
      </c>
    </row>
    <row r="53" spans="1:10" x14ac:dyDescent="0.3">
      <c r="A53" s="2">
        <f t="shared" si="3"/>
        <v>327</v>
      </c>
      <c r="D53">
        <f t="shared" si="1"/>
        <v>0</v>
      </c>
      <c r="E53" cm="1">
        <f t="array" ref="E53">IF(C53=0, B53, MEAN(B53:C53))</f>
        <v>0</v>
      </c>
      <c r="F53">
        <f>IF(C53=0, Parametri!$D$8, ABS(B53-C53)/(2*SQRT(3)))</f>
        <v>0.11547005383792516</v>
      </c>
      <c r="G53">
        <f>(A53-Parametri!$A$11)+Parametri!$A$2+(Parametri!$A$5/2)</f>
        <v>327</v>
      </c>
      <c r="H53" s="3">
        <f>(E53-Parametri!$A$8)-(Dati!A53-Parametri!$A$11)+Parametri!$A$2</f>
        <v>-327</v>
      </c>
      <c r="I53">
        <f t="shared" si="2"/>
        <v>0.11547005383792516</v>
      </c>
      <c r="J53">
        <f>Parametri!$D$8</f>
        <v>0.11547005383792516</v>
      </c>
    </row>
    <row r="54" spans="1:10" x14ac:dyDescent="0.3">
      <c r="A54" s="2">
        <f t="shared" si="3"/>
        <v>329</v>
      </c>
      <c r="D54">
        <f t="shared" si="1"/>
        <v>0</v>
      </c>
      <c r="E54" cm="1">
        <f t="array" ref="E54">IF(C54=0, B54, MEAN(B54:C54))</f>
        <v>0</v>
      </c>
      <c r="F54">
        <f>IF(C54=0, Parametri!$D$8, ABS(B54-C54)/(2*SQRT(3)))</f>
        <v>0.11547005383792516</v>
      </c>
      <c r="G54">
        <f>(A54-Parametri!$A$11)+Parametri!$A$2+(Parametri!$A$5/2)</f>
        <v>329</v>
      </c>
      <c r="H54" s="3">
        <f>(E54-Parametri!$A$8)-(Dati!A54-Parametri!$A$11)+Parametri!$A$2</f>
        <v>-329</v>
      </c>
      <c r="I54">
        <f t="shared" si="2"/>
        <v>0.11547005383792516</v>
      </c>
      <c r="J54">
        <f>Parametri!$D$8</f>
        <v>0.11547005383792516</v>
      </c>
    </row>
    <row r="55" spans="1:10" x14ac:dyDescent="0.3">
      <c r="A55" s="2">
        <f t="shared" si="3"/>
        <v>331</v>
      </c>
      <c r="D55">
        <f t="shared" si="1"/>
        <v>0</v>
      </c>
      <c r="E55" cm="1">
        <f t="array" ref="E55">IF(C55=0, B55, MEAN(B55:C55))</f>
        <v>0</v>
      </c>
      <c r="F55">
        <f>IF(C55=0, Parametri!$D$8, ABS(B55-C55)/(2*SQRT(3)))</f>
        <v>0.11547005383792516</v>
      </c>
      <c r="G55">
        <f>(A55-Parametri!$A$11)+Parametri!$A$2+(Parametri!$A$5/2)</f>
        <v>331</v>
      </c>
      <c r="H55" s="3">
        <f>(E55-Parametri!$A$8)-(Dati!A55-Parametri!$A$11)+Parametri!$A$2</f>
        <v>-331</v>
      </c>
      <c r="I55">
        <f t="shared" si="2"/>
        <v>0.11547005383792516</v>
      </c>
      <c r="J55">
        <f>Parametri!$D$8</f>
        <v>0.11547005383792516</v>
      </c>
    </row>
    <row r="56" spans="1:10" x14ac:dyDescent="0.3">
      <c r="A56" s="2">
        <f t="shared" si="3"/>
        <v>333</v>
      </c>
      <c r="D56">
        <f t="shared" si="1"/>
        <v>0</v>
      </c>
      <c r="E56" cm="1">
        <f t="array" ref="E56">IF(C56=0, B56, MEAN(B56:C56))</f>
        <v>0</v>
      </c>
      <c r="F56">
        <f>IF(C56=0, Parametri!$D$8, ABS(B56-C56)/(2*SQRT(3)))</f>
        <v>0.11547005383792516</v>
      </c>
      <c r="G56">
        <f>(A56-Parametri!$A$11)+Parametri!$A$2+(Parametri!$A$5/2)</f>
        <v>333</v>
      </c>
      <c r="H56" s="3">
        <f>(E56-Parametri!$A$8)-(Dati!A56-Parametri!$A$11)+Parametri!$A$2</f>
        <v>-333</v>
      </c>
      <c r="I56">
        <f t="shared" si="2"/>
        <v>0.11547005383792516</v>
      </c>
      <c r="J56">
        <f>Parametri!$D$8</f>
        <v>0.11547005383792516</v>
      </c>
    </row>
    <row r="57" spans="1:10" x14ac:dyDescent="0.3">
      <c r="A57" s="2">
        <f t="shared" si="3"/>
        <v>335</v>
      </c>
      <c r="D57">
        <f t="shared" si="1"/>
        <v>0</v>
      </c>
      <c r="E57" cm="1">
        <f t="array" ref="E57">IF(C57=0, B57, MEAN(B57:C57))</f>
        <v>0</v>
      </c>
      <c r="F57">
        <f>IF(C57=0, Parametri!$D$8, ABS(B57-C57)/(2*SQRT(3)))</f>
        <v>0.11547005383792516</v>
      </c>
      <c r="G57">
        <f>(A57-Parametri!$A$11)+Parametri!$A$2+(Parametri!$A$5/2)</f>
        <v>335</v>
      </c>
      <c r="H57" s="3">
        <f>(E57-Parametri!$A$8)-(Dati!A57-Parametri!$A$11)+Parametri!$A$2</f>
        <v>-335</v>
      </c>
      <c r="I57">
        <f t="shared" si="2"/>
        <v>0.11547005383792516</v>
      </c>
      <c r="J57">
        <f>Parametri!$D$8</f>
        <v>0.11547005383792516</v>
      </c>
    </row>
    <row r="58" spans="1:10" x14ac:dyDescent="0.3">
      <c r="A58" s="2">
        <f t="shared" si="3"/>
        <v>337</v>
      </c>
      <c r="D58">
        <f t="shared" si="1"/>
        <v>0</v>
      </c>
      <c r="E58" cm="1">
        <f t="array" ref="E58">IF(C58=0, B58, MEAN(B58:C58))</f>
        <v>0</v>
      </c>
      <c r="F58">
        <f>IF(C58=0, Parametri!$D$8, ABS(B58-C58)/(2*SQRT(3)))</f>
        <v>0.11547005383792516</v>
      </c>
      <c r="G58">
        <f>(A58-Parametri!$A$11)+Parametri!$A$2+(Parametri!$A$5/2)</f>
        <v>337</v>
      </c>
      <c r="H58" s="3">
        <f>(E58-Parametri!$A$8)-(Dati!A58-Parametri!$A$11)+Parametri!$A$2</f>
        <v>-337</v>
      </c>
      <c r="I58">
        <f t="shared" si="2"/>
        <v>0.11547005383792516</v>
      </c>
      <c r="J58">
        <f>Parametri!$D$8</f>
        <v>0.11547005383792516</v>
      </c>
    </row>
    <row r="59" spans="1:10" x14ac:dyDescent="0.3">
      <c r="A59" s="2">
        <f t="shared" si="3"/>
        <v>339</v>
      </c>
      <c r="D59">
        <f t="shared" si="1"/>
        <v>0</v>
      </c>
      <c r="E59" cm="1">
        <f t="array" ref="E59">IF(C59=0, B59, MEAN(B59:C59))</f>
        <v>0</v>
      </c>
      <c r="F59">
        <f>IF(C59=0, Parametri!$D$8, ABS(B59-C59)/(2*SQRT(3)))</f>
        <v>0.11547005383792516</v>
      </c>
      <c r="G59">
        <f>(A59-Parametri!$A$11)+Parametri!$A$2+(Parametri!$A$5/2)</f>
        <v>339</v>
      </c>
      <c r="H59" s="3">
        <f>(E59-Parametri!$A$8)-(Dati!A59-Parametri!$A$11)+Parametri!$A$2</f>
        <v>-339</v>
      </c>
      <c r="I59">
        <f t="shared" si="2"/>
        <v>0.11547005383792516</v>
      </c>
      <c r="J59">
        <f>Parametri!$D$8</f>
        <v>0.11547005383792516</v>
      </c>
    </row>
    <row r="60" spans="1:10" x14ac:dyDescent="0.3">
      <c r="A60" s="2">
        <f t="shared" si="3"/>
        <v>341</v>
      </c>
      <c r="D60">
        <f t="shared" si="1"/>
        <v>0</v>
      </c>
      <c r="E60" cm="1">
        <f t="array" ref="E60">IF(C60=0, B60, MEAN(B60:C60))</f>
        <v>0</v>
      </c>
      <c r="F60">
        <f>IF(C60=0, Parametri!$D$8, ABS(B60-C60)/(2*SQRT(3)))</f>
        <v>0.11547005383792516</v>
      </c>
      <c r="G60">
        <f>(A60-Parametri!$A$11)+Parametri!$A$2+(Parametri!$A$5/2)</f>
        <v>341</v>
      </c>
      <c r="H60" s="3">
        <f>(E60-Parametri!$A$8)-(Dati!A60-Parametri!$A$11)+Parametri!$A$2</f>
        <v>-341</v>
      </c>
      <c r="I60">
        <f t="shared" si="2"/>
        <v>0.11547005383792516</v>
      </c>
      <c r="J60">
        <f>Parametri!$D$8</f>
        <v>0.11547005383792516</v>
      </c>
    </row>
    <row r="61" spans="1:10" x14ac:dyDescent="0.3">
      <c r="A61" s="2">
        <f t="shared" si="3"/>
        <v>343</v>
      </c>
      <c r="D61">
        <f t="shared" si="1"/>
        <v>0</v>
      </c>
      <c r="E61" cm="1">
        <f t="array" ref="E61">IF(C61=0, B61, MEAN(B61:C61))</f>
        <v>0</v>
      </c>
      <c r="F61">
        <f>IF(C61=0, Parametri!$D$8, ABS(B61-C61)/(2*SQRT(3)))</f>
        <v>0.11547005383792516</v>
      </c>
      <c r="G61">
        <f>(A61-Parametri!$A$11)+Parametri!$A$2+(Parametri!$A$5/2)</f>
        <v>343</v>
      </c>
      <c r="H61" s="3">
        <f>(E61-Parametri!$A$8)-(Dati!A61-Parametri!$A$11)+Parametri!$A$2</f>
        <v>-343</v>
      </c>
      <c r="I61">
        <f t="shared" si="2"/>
        <v>0.11547005383792516</v>
      </c>
      <c r="J61">
        <f>Parametri!$D$8</f>
        <v>0.11547005383792516</v>
      </c>
    </row>
    <row r="62" spans="1:10" x14ac:dyDescent="0.3">
      <c r="A62" s="2">
        <f t="shared" si="3"/>
        <v>345</v>
      </c>
      <c r="D62">
        <f t="shared" si="1"/>
        <v>0</v>
      </c>
      <c r="E62" cm="1">
        <f t="array" ref="E62">IF(C62=0, B62, MEAN(B62:C62))</f>
        <v>0</v>
      </c>
      <c r="F62">
        <f>IF(C62=0, Parametri!$D$8, ABS(B62-C62)/(2*SQRT(3)))</f>
        <v>0.11547005383792516</v>
      </c>
      <c r="G62">
        <f>(A62-Parametri!$A$11)+Parametri!$A$2+(Parametri!$A$5/2)</f>
        <v>345</v>
      </c>
      <c r="H62" s="3">
        <f>(E62-Parametri!$A$8)-(Dati!A62-Parametri!$A$11)+Parametri!$A$2</f>
        <v>-345</v>
      </c>
      <c r="I62">
        <f t="shared" si="2"/>
        <v>0.11547005383792516</v>
      </c>
      <c r="J62">
        <f>Parametri!$D$8</f>
        <v>0.11547005383792516</v>
      </c>
    </row>
    <row r="63" spans="1:10" x14ac:dyDescent="0.3">
      <c r="A63" s="2">
        <f t="shared" si="3"/>
        <v>347</v>
      </c>
      <c r="D63">
        <f t="shared" si="1"/>
        <v>0</v>
      </c>
      <c r="E63" cm="1">
        <f t="array" ref="E63">IF(C63=0, B63, MEAN(B63:C63))</f>
        <v>0</v>
      </c>
      <c r="F63">
        <f>IF(C63=0, Parametri!$D$8, ABS(B63-C63)/(2*SQRT(3)))</f>
        <v>0.11547005383792516</v>
      </c>
      <c r="G63">
        <f>(A63-Parametri!$A$11)+Parametri!$A$2+(Parametri!$A$5/2)</f>
        <v>347</v>
      </c>
      <c r="H63" s="3">
        <f>(E63-Parametri!$A$8)-(Dati!A63-Parametri!$A$11)+Parametri!$A$2</f>
        <v>-347</v>
      </c>
      <c r="I63">
        <f t="shared" si="2"/>
        <v>0.11547005383792516</v>
      </c>
      <c r="J63">
        <f>Parametri!$D$8</f>
        <v>0.11547005383792516</v>
      </c>
    </row>
    <row r="64" spans="1:10" x14ac:dyDescent="0.3">
      <c r="A64" s="2">
        <f t="shared" si="3"/>
        <v>349</v>
      </c>
      <c r="D64">
        <f t="shared" si="1"/>
        <v>0</v>
      </c>
      <c r="E64" cm="1">
        <f t="array" ref="E64">IF(C64=0, B64, MEAN(B64:C64))</f>
        <v>0</v>
      </c>
      <c r="F64">
        <f>IF(C64=0, Parametri!$D$8, ABS(B64-C64)/(2*SQRT(3)))</f>
        <v>0.11547005383792516</v>
      </c>
      <c r="G64">
        <f>(A64-Parametri!$A$11)+Parametri!$A$2+(Parametri!$A$5/2)</f>
        <v>349</v>
      </c>
      <c r="H64" s="3">
        <f>(E64-Parametri!$A$8)-(Dati!A64-Parametri!$A$11)+Parametri!$A$2</f>
        <v>-349</v>
      </c>
      <c r="I64">
        <f t="shared" si="2"/>
        <v>0.11547005383792516</v>
      </c>
      <c r="J64">
        <f>Parametri!$D$8</f>
        <v>0.11547005383792516</v>
      </c>
    </row>
    <row r="65" spans="1:10" x14ac:dyDescent="0.3">
      <c r="A65" s="2">
        <f t="shared" si="3"/>
        <v>351</v>
      </c>
      <c r="D65">
        <f t="shared" si="1"/>
        <v>0</v>
      </c>
      <c r="E65" cm="1">
        <f t="array" ref="E65">IF(C65=0, B65, MEAN(B65:C65))</f>
        <v>0</v>
      </c>
      <c r="F65">
        <f>IF(C65=0, Parametri!$D$8, ABS(B65-C65)/(2*SQRT(3)))</f>
        <v>0.11547005383792516</v>
      </c>
      <c r="G65">
        <f>(A65-Parametri!$A$11)+Parametri!$A$2+(Parametri!$A$5/2)</f>
        <v>351</v>
      </c>
      <c r="H65" s="3">
        <f>(E65-Parametri!$A$8)-(Dati!A65-Parametri!$A$11)+Parametri!$A$2</f>
        <v>-351</v>
      </c>
      <c r="I65">
        <f t="shared" si="2"/>
        <v>0.11547005383792516</v>
      </c>
      <c r="J65">
        <f>Parametri!$D$8</f>
        <v>0.11547005383792516</v>
      </c>
    </row>
    <row r="66" spans="1:10" x14ac:dyDescent="0.3">
      <c r="A66" s="2">
        <f>A65+3</f>
        <v>354</v>
      </c>
      <c r="D66">
        <f t="shared" si="1"/>
        <v>0</v>
      </c>
      <c r="E66" cm="1">
        <f t="array" ref="E66">IF(C66=0, B66, MEAN(B66:C66))</f>
        <v>0</v>
      </c>
      <c r="F66">
        <f>IF(C66=0, Parametri!$D$8, ABS(B66-C66)/(2*SQRT(3)))</f>
        <v>0.11547005383792516</v>
      </c>
      <c r="G66">
        <f>(A66-Parametri!$A$11)+Parametri!$A$2+(Parametri!$A$5/2)</f>
        <v>354</v>
      </c>
      <c r="H66" s="3">
        <f>(E66-Parametri!$A$8)-(Dati!A66-Parametri!$A$11)+Parametri!$A$2</f>
        <v>-354</v>
      </c>
      <c r="I66">
        <f t="shared" si="2"/>
        <v>0.11547005383792516</v>
      </c>
      <c r="J66">
        <f>Parametri!$D$8</f>
        <v>0.11547005383792516</v>
      </c>
    </row>
    <row r="67" spans="1:10" x14ac:dyDescent="0.3">
      <c r="A67" s="2">
        <f t="shared" ref="A67:A73" si="4">A66+3</f>
        <v>357</v>
      </c>
      <c r="D67">
        <f t="shared" ref="D67:D130" si="5">B67+2*E67</f>
        <v>0</v>
      </c>
      <c r="E67" cm="1">
        <f t="array" ref="E67">IF(C67=0, B67, MEAN(B67:C67))</f>
        <v>0</v>
      </c>
      <c r="F67">
        <f>IF(C67=0, Parametri!$D$8, ABS(B67-C67)/(2*SQRT(3)))</f>
        <v>0.11547005383792516</v>
      </c>
      <c r="G67">
        <f>(A67-Parametri!$A$11)+Parametri!$A$2+(Parametri!$A$5/2)</f>
        <v>357</v>
      </c>
      <c r="H67" s="3">
        <f>(E67-Parametri!$A$8)-(Dati!A67-Parametri!$A$11)+Parametri!$A$2</f>
        <v>-357</v>
      </c>
      <c r="I67">
        <f t="shared" ref="I67:I130" si="6">F67</f>
        <v>0.11547005383792516</v>
      </c>
      <c r="J67">
        <f>Parametri!$D$8</f>
        <v>0.11547005383792516</v>
      </c>
    </row>
    <row r="68" spans="1:10" x14ac:dyDescent="0.3">
      <c r="A68" s="2">
        <f t="shared" si="4"/>
        <v>360</v>
      </c>
      <c r="D68">
        <f t="shared" si="5"/>
        <v>0</v>
      </c>
      <c r="E68" cm="1">
        <f t="array" ref="E68">IF(C68=0, B68, MEAN(B68:C68))</f>
        <v>0</v>
      </c>
      <c r="F68">
        <f>IF(C68=0, Parametri!$D$8, ABS(B68-C68)/(2*SQRT(3)))</f>
        <v>0.11547005383792516</v>
      </c>
      <c r="G68">
        <f>(A68-Parametri!$A$11)+Parametri!$A$2+(Parametri!$A$5/2)</f>
        <v>360</v>
      </c>
      <c r="H68" s="3">
        <f>(E68-Parametri!$A$8)-(Dati!A68-Parametri!$A$11)+Parametri!$A$2</f>
        <v>-360</v>
      </c>
      <c r="I68">
        <f t="shared" si="6"/>
        <v>0.11547005383792516</v>
      </c>
      <c r="J68">
        <f>Parametri!$D$8</f>
        <v>0.11547005383792516</v>
      </c>
    </row>
    <row r="69" spans="1:10" x14ac:dyDescent="0.3">
      <c r="A69" s="2">
        <f t="shared" si="4"/>
        <v>363</v>
      </c>
      <c r="D69">
        <f t="shared" si="5"/>
        <v>0</v>
      </c>
      <c r="E69" cm="1">
        <f t="array" ref="E69">IF(C69=0, B69, MEAN(B69:C69))</f>
        <v>0</v>
      </c>
      <c r="F69">
        <f>IF(C69=0, Parametri!$D$8, ABS(B69-C69)/(2*SQRT(3)))</f>
        <v>0.11547005383792516</v>
      </c>
      <c r="G69">
        <f>(A69-Parametri!$A$11)+Parametri!$A$2+(Parametri!$A$5/2)</f>
        <v>363</v>
      </c>
      <c r="H69" s="3">
        <f>(E69-Parametri!$A$8)-(Dati!A69-Parametri!$A$11)+Parametri!$A$2</f>
        <v>-363</v>
      </c>
      <c r="I69">
        <f t="shared" si="6"/>
        <v>0.11547005383792516</v>
      </c>
      <c r="J69">
        <f>Parametri!$D$8</f>
        <v>0.11547005383792516</v>
      </c>
    </row>
    <row r="70" spans="1:10" x14ac:dyDescent="0.3">
      <c r="A70" s="2">
        <f t="shared" si="4"/>
        <v>366</v>
      </c>
      <c r="D70">
        <f t="shared" si="5"/>
        <v>0</v>
      </c>
      <c r="E70" cm="1">
        <f t="array" ref="E70">IF(C70=0, B70, MEAN(B70:C70))</f>
        <v>0</v>
      </c>
      <c r="F70">
        <f>IF(C70=0, Parametri!$D$8, ABS(B70-C70)/(2*SQRT(3)))</f>
        <v>0.11547005383792516</v>
      </c>
      <c r="G70">
        <f>(A70-Parametri!$A$11)+Parametri!$A$2+(Parametri!$A$5/2)</f>
        <v>366</v>
      </c>
      <c r="H70" s="3">
        <f>(E70-Parametri!$A$8)-(Dati!A70-Parametri!$A$11)+Parametri!$A$2</f>
        <v>-366</v>
      </c>
      <c r="I70">
        <f t="shared" si="6"/>
        <v>0.11547005383792516</v>
      </c>
      <c r="J70">
        <f>Parametri!$D$8</f>
        <v>0.11547005383792516</v>
      </c>
    </row>
    <row r="71" spans="1:10" x14ac:dyDescent="0.3">
      <c r="A71" s="2">
        <f t="shared" si="4"/>
        <v>369</v>
      </c>
      <c r="D71">
        <f t="shared" si="5"/>
        <v>0</v>
      </c>
      <c r="E71" cm="1">
        <f t="array" ref="E71">IF(C71=0, B71, MEAN(B71:C71))</f>
        <v>0</v>
      </c>
      <c r="F71">
        <f>IF(C71=0, Parametri!$D$8, ABS(B71-C71)/(2*SQRT(3)))</f>
        <v>0.11547005383792516</v>
      </c>
      <c r="G71">
        <f>(A71-Parametri!$A$11)+Parametri!$A$2+(Parametri!$A$5/2)</f>
        <v>369</v>
      </c>
      <c r="H71" s="3">
        <f>(E71-Parametri!$A$8)-(Dati!A71-Parametri!$A$11)+Parametri!$A$2</f>
        <v>-369</v>
      </c>
      <c r="I71">
        <f t="shared" si="6"/>
        <v>0.11547005383792516</v>
      </c>
      <c r="J71">
        <f>Parametri!$D$8</f>
        <v>0.11547005383792516</v>
      </c>
    </row>
    <row r="72" spans="1:10" x14ac:dyDescent="0.3">
      <c r="A72" s="2">
        <f t="shared" si="4"/>
        <v>372</v>
      </c>
      <c r="D72">
        <f t="shared" si="5"/>
        <v>0</v>
      </c>
      <c r="E72" cm="1">
        <f t="array" ref="E72">IF(C72=0, B72, MEAN(B72:C72))</f>
        <v>0</v>
      </c>
      <c r="F72">
        <f>IF(C72=0, Parametri!$D$8, ABS(B72-C72)/(2*SQRT(3)))</f>
        <v>0.11547005383792516</v>
      </c>
      <c r="G72">
        <f>(A72-Parametri!$A$11)+Parametri!$A$2+(Parametri!$A$5/2)</f>
        <v>372</v>
      </c>
      <c r="H72" s="3">
        <f>(E72-Parametri!$A$8)-(Dati!A72-Parametri!$A$11)+Parametri!$A$2</f>
        <v>-372</v>
      </c>
      <c r="I72">
        <f t="shared" si="6"/>
        <v>0.11547005383792516</v>
      </c>
      <c r="J72">
        <f>Parametri!$D$8</f>
        <v>0.11547005383792516</v>
      </c>
    </row>
    <row r="73" spans="1:10" x14ac:dyDescent="0.3">
      <c r="A73" s="2">
        <f t="shared" si="4"/>
        <v>375</v>
      </c>
      <c r="D73">
        <f t="shared" si="5"/>
        <v>0</v>
      </c>
      <c r="E73" cm="1">
        <f t="array" ref="E73">IF(C73=0, B73, MEAN(B73:C73))</f>
        <v>0</v>
      </c>
      <c r="F73">
        <f>IF(C73=0, Parametri!$D$8, ABS(B73-C73)/(2*SQRT(3)))</f>
        <v>0.11547005383792516</v>
      </c>
      <c r="G73">
        <f>(A73-Parametri!$A$11)+Parametri!$A$2+(Parametri!$A$5/2)</f>
        <v>375</v>
      </c>
      <c r="H73" s="3">
        <f>(E73-Parametri!$A$8)-(Dati!A73-Parametri!$A$11)+Parametri!$A$2</f>
        <v>-375</v>
      </c>
      <c r="I73">
        <f t="shared" si="6"/>
        <v>0.11547005383792516</v>
      </c>
      <c r="J73">
        <f>Parametri!$D$8</f>
        <v>0.11547005383792516</v>
      </c>
    </row>
    <row r="74" spans="1:10" x14ac:dyDescent="0.3">
      <c r="A74" s="2">
        <f>A73+4</f>
        <v>379</v>
      </c>
      <c r="D74">
        <f t="shared" si="5"/>
        <v>0</v>
      </c>
      <c r="E74" cm="1">
        <f t="array" ref="E74">IF(C74=0, B74, MEAN(B74:C74))</f>
        <v>0</v>
      </c>
      <c r="F74">
        <f>IF(C74=0, Parametri!$D$8, ABS(B74-C74)/(2*SQRT(3)))</f>
        <v>0.11547005383792516</v>
      </c>
      <c r="G74">
        <f>(A74-Parametri!$A$11)+Parametri!$A$2+(Parametri!$A$5/2)</f>
        <v>379</v>
      </c>
      <c r="H74" s="3">
        <f>(E74-Parametri!$A$8)-(Dati!A74-Parametri!$A$11)+Parametri!$A$2</f>
        <v>-379</v>
      </c>
      <c r="I74">
        <f t="shared" si="6"/>
        <v>0.11547005383792516</v>
      </c>
      <c r="J74">
        <f>Parametri!$D$8</f>
        <v>0.11547005383792516</v>
      </c>
    </row>
    <row r="75" spans="1:10" x14ac:dyDescent="0.3">
      <c r="A75" s="2">
        <f t="shared" ref="A75:A81" si="7">A74+4</f>
        <v>383</v>
      </c>
      <c r="D75">
        <f t="shared" si="5"/>
        <v>0</v>
      </c>
      <c r="E75" cm="1">
        <f t="array" ref="E75">IF(C75=0, B75, MEAN(B75:C75))</f>
        <v>0</v>
      </c>
      <c r="F75">
        <f>IF(C75=0, Parametri!$D$8, ABS(B75-C75)/(2*SQRT(3)))</f>
        <v>0.11547005383792516</v>
      </c>
      <c r="G75">
        <f>(A75-Parametri!$A$11)+Parametri!$A$2+(Parametri!$A$5/2)</f>
        <v>383</v>
      </c>
      <c r="H75" s="3">
        <f>(E75-Parametri!$A$8)-(Dati!A75-Parametri!$A$11)+Parametri!$A$2</f>
        <v>-383</v>
      </c>
      <c r="I75">
        <f t="shared" si="6"/>
        <v>0.11547005383792516</v>
      </c>
      <c r="J75">
        <f>Parametri!$D$8</f>
        <v>0.11547005383792516</v>
      </c>
    </row>
    <row r="76" spans="1:10" x14ac:dyDescent="0.3">
      <c r="A76" s="2">
        <f t="shared" si="7"/>
        <v>387</v>
      </c>
      <c r="D76">
        <f t="shared" si="5"/>
        <v>0</v>
      </c>
      <c r="E76" cm="1">
        <f t="array" ref="E76">IF(C76=0, B76, MEAN(B76:C76))</f>
        <v>0</v>
      </c>
      <c r="F76">
        <f>IF(C76=0, Parametri!$D$8, ABS(B76-C76)/(2*SQRT(3)))</f>
        <v>0.11547005383792516</v>
      </c>
      <c r="G76">
        <f>(A76-Parametri!$A$11)+Parametri!$A$2+(Parametri!$A$5/2)</f>
        <v>387</v>
      </c>
      <c r="H76" s="3">
        <f>(E76-Parametri!$A$8)-(Dati!A76-Parametri!$A$11)+Parametri!$A$2</f>
        <v>-387</v>
      </c>
      <c r="I76">
        <f t="shared" si="6"/>
        <v>0.11547005383792516</v>
      </c>
      <c r="J76">
        <f>Parametri!$D$8</f>
        <v>0.11547005383792516</v>
      </c>
    </row>
    <row r="77" spans="1:10" x14ac:dyDescent="0.3">
      <c r="A77" s="2">
        <f t="shared" si="7"/>
        <v>391</v>
      </c>
      <c r="D77">
        <f t="shared" si="5"/>
        <v>0</v>
      </c>
      <c r="E77" cm="1">
        <f t="array" ref="E77">IF(C77=0, B77, MEAN(B77:C77))</f>
        <v>0</v>
      </c>
      <c r="F77">
        <f>IF(C77=0, Parametri!$D$8, ABS(B77-C77)/(2*SQRT(3)))</f>
        <v>0.11547005383792516</v>
      </c>
      <c r="G77">
        <f>(A77-Parametri!$A$11)+Parametri!$A$2+(Parametri!$A$5/2)</f>
        <v>391</v>
      </c>
      <c r="H77" s="3">
        <f>(E77-Parametri!$A$8)-(Dati!A77-Parametri!$A$11)+Parametri!$A$2</f>
        <v>-391</v>
      </c>
      <c r="I77">
        <f t="shared" si="6"/>
        <v>0.11547005383792516</v>
      </c>
      <c r="J77">
        <f>Parametri!$D$8</f>
        <v>0.11547005383792516</v>
      </c>
    </row>
    <row r="78" spans="1:10" x14ac:dyDescent="0.3">
      <c r="A78" s="2">
        <f t="shared" si="7"/>
        <v>395</v>
      </c>
      <c r="D78">
        <f t="shared" si="5"/>
        <v>0</v>
      </c>
      <c r="E78" cm="1">
        <f t="array" ref="E78">IF(C78=0, B78, MEAN(B78:C78))</f>
        <v>0</v>
      </c>
      <c r="F78">
        <f>IF(C78=0, Parametri!$D$8, ABS(B78-C78)/(2*SQRT(3)))</f>
        <v>0.11547005383792516</v>
      </c>
      <c r="G78">
        <f>(A78-Parametri!$A$11)+Parametri!$A$2+(Parametri!$A$5/2)</f>
        <v>395</v>
      </c>
      <c r="H78" s="3">
        <f>(E78-Parametri!$A$8)-(Dati!A78-Parametri!$A$11)+Parametri!$A$2</f>
        <v>-395</v>
      </c>
      <c r="I78">
        <f t="shared" si="6"/>
        <v>0.11547005383792516</v>
      </c>
      <c r="J78">
        <f>Parametri!$D$8</f>
        <v>0.11547005383792516</v>
      </c>
    </row>
    <row r="79" spans="1:10" x14ac:dyDescent="0.3">
      <c r="A79" s="2">
        <f t="shared" si="7"/>
        <v>399</v>
      </c>
      <c r="D79">
        <f t="shared" si="5"/>
        <v>0</v>
      </c>
      <c r="E79" cm="1">
        <f t="array" ref="E79">IF(C79=0, B79, MEAN(B79:C79))</f>
        <v>0</v>
      </c>
      <c r="F79">
        <f>IF(C79=0, Parametri!$D$8, ABS(B79-C79)/(2*SQRT(3)))</f>
        <v>0.11547005383792516</v>
      </c>
      <c r="G79">
        <f>(A79-Parametri!$A$11)+Parametri!$A$2+(Parametri!$A$5/2)</f>
        <v>399</v>
      </c>
      <c r="H79" s="3">
        <f>(E79-Parametri!$A$8)-(Dati!A79-Parametri!$A$11)+Parametri!$A$2</f>
        <v>-399</v>
      </c>
      <c r="I79">
        <f t="shared" si="6"/>
        <v>0.11547005383792516</v>
      </c>
      <c r="J79">
        <f>Parametri!$D$8</f>
        <v>0.11547005383792516</v>
      </c>
    </row>
    <row r="80" spans="1:10" x14ac:dyDescent="0.3">
      <c r="A80" s="2">
        <f t="shared" si="7"/>
        <v>403</v>
      </c>
      <c r="D80">
        <f t="shared" si="5"/>
        <v>0</v>
      </c>
      <c r="E80" cm="1">
        <f t="array" ref="E80">IF(C80=0, B80, MEAN(B80:C80))</f>
        <v>0</v>
      </c>
      <c r="F80">
        <f>IF(C80=0, Parametri!$D$8, ABS(B80-C80)/(2*SQRT(3)))</f>
        <v>0.11547005383792516</v>
      </c>
      <c r="G80">
        <f>(A80-Parametri!$A$11)+Parametri!$A$2+(Parametri!$A$5/2)</f>
        <v>403</v>
      </c>
      <c r="H80" s="3">
        <f>(E80-Parametri!$A$8)-(Dati!A80-Parametri!$A$11)+Parametri!$A$2</f>
        <v>-403</v>
      </c>
      <c r="I80">
        <f t="shared" si="6"/>
        <v>0.11547005383792516</v>
      </c>
      <c r="J80">
        <f>Parametri!$D$8</f>
        <v>0.11547005383792516</v>
      </c>
    </row>
    <row r="81" spans="1:10" x14ac:dyDescent="0.3">
      <c r="A81" s="2">
        <f t="shared" si="7"/>
        <v>407</v>
      </c>
      <c r="D81">
        <f t="shared" si="5"/>
        <v>0</v>
      </c>
      <c r="E81" cm="1">
        <f t="array" ref="E81">IF(C81=0, B81, MEAN(B81:C81))</f>
        <v>0</v>
      </c>
      <c r="F81">
        <f>IF(C81=0, Parametri!$D$8, ABS(B81-C81)/(2*SQRT(3)))</f>
        <v>0.11547005383792516</v>
      </c>
      <c r="G81">
        <f>(A81-Parametri!$A$11)+Parametri!$A$2+(Parametri!$A$5/2)</f>
        <v>407</v>
      </c>
      <c r="H81" s="3">
        <f>(E81-Parametri!$A$8)-(Dati!A81-Parametri!$A$11)+Parametri!$A$2</f>
        <v>-407</v>
      </c>
      <c r="I81">
        <f t="shared" si="6"/>
        <v>0.11547005383792516</v>
      </c>
      <c r="J81">
        <f>Parametri!$D$8</f>
        <v>0.11547005383792516</v>
      </c>
    </row>
    <row r="82" spans="1:10" x14ac:dyDescent="0.3">
      <c r="A82" s="2">
        <f>A81+5</f>
        <v>412</v>
      </c>
      <c r="D82">
        <f t="shared" si="5"/>
        <v>0</v>
      </c>
      <c r="E82" cm="1">
        <f t="array" ref="E82">IF(C82=0, B82, MEAN(B82:C82))</f>
        <v>0</v>
      </c>
      <c r="F82">
        <f>IF(C82=0, Parametri!$D$8, ABS(B82-C82)/(2*SQRT(3)))</f>
        <v>0.11547005383792516</v>
      </c>
      <c r="G82">
        <f>(A82-Parametri!$A$11)+Parametri!$A$2+(Parametri!$A$5/2)</f>
        <v>412</v>
      </c>
      <c r="H82" s="3">
        <f>(E82-Parametri!$A$8)-(Dati!A82-Parametri!$A$11)+Parametri!$A$2</f>
        <v>-412</v>
      </c>
      <c r="I82">
        <f t="shared" si="6"/>
        <v>0.11547005383792516</v>
      </c>
      <c r="J82">
        <f>Parametri!$D$8</f>
        <v>0.11547005383792516</v>
      </c>
    </row>
    <row r="83" spans="1:10" x14ac:dyDescent="0.3">
      <c r="A83" s="2">
        <f t="shared" ref="A83:A89" si="8">A82+5</f>
        <v>417</v>
      </c>
      <c r="D83">
        <f t="shared" si="5"/>
        <v>0</v>
      </c>
      <c r="E83" cm="1">
        <f t="array" ref="E83">IF(C83=0, B83, MEAN(B83:C83))</f>
        <v>0</v>
      </c>
      <c r="F83">
        <f>IF(C83=0, Parametri!$D$8, ABS(B83-C83)/(2*SQRT(3)))</f>
        <v>0.11547005383792516</v>
      </c>
      <c r="G83">
        <f>(A83-Parametri!$A$11)+Parametri!$A$2+(Parametri!$A$5/2)</f>
        <v>417</v>
      </c>
      <c r="H83" s="3">
        <f>(E83-Parametri!$A$8)-(Dati!A83-Parametri!$A$11)+Parametri!$A$2</f>
        <v>-417</v>
      </c>
      <c r="I83">
        <f t="shared" si="6"/>
        <v>0.11547005383792516</v>
      </c>
      <c r="J83">
        <f>Parametri!$D$8</f>
        <v>0.11547005383792516</v>
      </c>
    </row>
    <row r="84" spans="1:10" x14ac:dyDescent="0.3">
      <c r="A84" s="2">
        <f t="shared" si="8"/>
        <v>422</v>
      </c>
      <c r="D84">
        <f t="shared" si="5"/>
        <v>0</v>
      </c>
      <c r="E84" cm="1">
        <f t="array" ref="E84">IF(C84=0, B84, MEAN(B84:C84))</f>
        <v>0</v>
      </c>
      <c r="F84">
        <f>IF(C84=0, Parametri!$D$8, ABS(B84-C84)/(2*SQRT(3)))</f>
        <v>0.11547005383792516</v>
      </c>
      <c r="G84">
        <f>(A84-Parametri!$A$11)+Parametri!$A$2+(Parametri!$A$5/2)</f>
        <v>422</v>
      </c>
      <c r="H84" s="3">
        <f>(E84-Parametri!$A$8)-(Dati!A84-Parametri!$A$11)+Parametri!$A$2</f>
        <v>-422</v>
      </c>
      <c r="I84">
        <f t="shared" si="6"/>
        <v>0.11547005383792516</v>
      </c>
      <c r="J84">
        <f>Parametri!$D$8</f>
        <v>0.11547005383792516</v>
      </c>
    </row>
    <row r="85" spans="1:10" x14ac:dyDescent="0.3">
      <c r="A85" s="2">
        <f t="shared" si="8"/>
        <v>427</v>
      </c>
      <c r="D85">
        <f t="shared" si="5"/>
        <v>0</v>
      </c>
      <c r="E85" cm="1">
        <f t="array" ref="E85">IF(C85=0, B85, MEAN(B85:C85))</f>
        <v>0</v>
      </c>
      <c r="F85">
        <f>IF(C85=0, Parametri!$D$8, ABS(B85-C85)/(2*SQRT(3)))</f>
        <v>0.11547005383792516</v>
      </c>
      <c r="G85">
        <f>(A85-Parametri!$A$11)+Parametri!$A$2+(Parametri!$A$5/2)</f>
        <v>427</v>
      </c>
      <c r="H85" s="3">
        <f>(E85-Parametri!$A$8)-(Dati!A85-Parametri!$A$11)+Parametri!$A$2</f>
        <v>-427</v>
      </c>
      <c r="I85">
        <f t="shared" si="6"/>
        <v>0.11547005383792516</v>
      </c>
      <c r="J85">
        <f>Parametri!$D$8</f>
        <v>0.11547005383792516</v>
      </c>
    </row>
    <row r="86" spans="1:10" x14ac:dyDescent="0.3">
      <c r="A86" s="2">
        <f t="shared" si="8"/>
        <v>432</v>
      </c>
      <c r="D86">
        <f t="shared" si="5"/>
        <v>0</v>
      </c>
      <c r="E86" cm="1">
        <f t="array" ref="E86">IF(C86=0, B86, MEAN(B86:C86))</f>
        <v>0</v>
      </c>
      <c r="F86">
        <f>IF(C86=0, Parametri!$D$8, ABS(B86-C86)/(2*SQRT(3)))</f>
        <v>0.11547005383792516</v>
      </c>
      <c r="G86">
        <f>(A86-Parametri!$A$11)+Parametri!$A$2+(Parametri!$A$5/2)</f>
        <v>432</v>
      </c>
      <c r="H86" s="3">
        <f>(E86-Parametri!$A$8)-(Dati!A86-Parametri!$A$11)+Parametri!$A$2</f>
        <v>-432</v>
      </c>
      <c r="I86">
        <f t="shared" si="6"/>
        <v>0.11547005383792516</v>
      </c>
      <c r="J86">
        <f>Parametri!$D$8</f>
        <v>0.11547005383792516</v>
      </c>
    </row>
    <row r="87" spans="1:10" x14ac:dyDescent="0.3">
      <c r="A87" s="2">
        <f t="shared" si="8"/>
        <v>437</v>
      </c>
      <c r="D87">
        <f t="shared" si="5"/>
        <v>0</v>
      </c>
      <c r="E87" cm="1">
        <f t="array" ref="E87">IF(C87=0, B87, MEAN(B87:C87))</f>
        <v>0</v>
      </c>
      <c r="F87">
        <f>IF(C87=0, Parametri!$D$8, ABS(B87-C87)/(2*SQRT(3)))</f>
        <v>0.11547005383792516</v>
      </c>
      <c r="G87">
        <f>(A87-Parametri!$A$11)+Parametri!$A$2+(Parametri!$A$5/2)</f>
        <v>437</v>
      </c>
      <c r="H87" s="3">
        <f>(E87-Parametri!$A$8)-(Dati!A87-Parametri!$A$11)+Parametri!$A$2</f>
        <v>-437</v>
      </c>
      <c r="I87">
        <f t="shared" si="6"/>
        <v>0.11547005383792516</v>
      </c>
      <c r="J87">
        <f>Parametri!$D$8</f>
        <v>0.11547005383792516</v>
      </c>
    </row>
    <row r="88" spans="1:10" x14ac:dyDescent="0.3">
      <c r="A88" s="2">
        <f t="shared" si="8"/>
        <v>442</v>
      </c>
      <c r="D88">
        <f t="shared" si="5"/>
        <v>0</v>
      </c>
      <c r="E88" cm="1">
        <f t="array" ref="E88">IF(C88=0, B88, MEAN(B88:C88))</f>
        <v>0</v>
      </c>
      <c r="F88">
        <f>IF(C88=0, Parametri!$D$8, ABS(B88-C88)/(2*SQRT(3)))</f>
        <v>0.11547005383792516</v>
      </c>
      <c r="G88">
        <f>(A88-Parametri!$A$11)+Parametri!$A$2+(Parametri!$A$5/2)</f>
        <v>442</v>
      </c>
      <c r="H88" s="3">
        <f>(E88-Parametri!$A$8)-(Dati!A88-Parametri!$A$11)+Parametri!$A$2</f>
        <v>-442</v>
      </c>
      <c r="I88">
        <f t="shared" si="6"/>
        <v>0.11547005383792516</v>
      </c>
      <c r="J88">
        <f>Parametri!$D$8</f>
        <v>0.11547005383792516</v>
      </c>
    </row>
    <row r="89" spans="1:10" x14ac:dyDescent="0.3">
      <c r="A89" s="2">
        <f t="shared" si="8"/>
        <v>447</v>
      </c>
      <c r="D89">
        <f t="shared" si="5"/>
        <v>0</v>
      </c>
      <c r="E89" cm="1">
        <f t="array" ref="E89">IF(C89=0, B89, MEAN(B89:C89))</f>
        <v>0</v>
      </c>
      <c r="F89">
        <f>IF(C89=0, Parametri!$D$8, ABS(B89-C89)/(2*SQRT(3)))</f>
        <v>0.11547005383792516</v>
      </c>
      <c r="G89">
        <f>(A89-Parametri!$A$11)+Parametri!$A$2+(Parametri!$A$5/2)</f>
        <v>447</v>
      </c>
      <c r="H89" s="3">
        <f>(E89-Parametri!$A$8)-(Dati!A89-Parametri!$A$11)+Parametri!$A$2</f>
        <v>-447</v>
      </c>
      <c r="I89">
        <f t="shared" si="6"/>
        <v>0.11547005383792516</v>
      </c>
      <c r="J89">
        <f>Parametri!$D$8</f>
        <v>0.11547005383792516</v>
      </c>
    </row>
    <row r="90" spans="1:10" x14ac:dyDescent="0.3">
      <c r="A90" s="2">
        <f>A89+7</f>
        <v>454</v>
      </c>
      <c r="D90">
        <f t="shared" si="5"/>
        <v>0</v>
      </c>
      <c r="E90" cm="1">
        <f t="array" ref="E90">IF(C90=0, B90, MEAN(B90:C90))</f>
        <v>0</v>
      </c>
      <c r="F90">
        <f>IF(C90=0, Parametri!$D$8, ABS(B90-C90)/(2*SQRT(3)))</f>
        <v>0.11547005383792516</v>
      </c>
      <c r="G90">
        <f>(A90-Parametri!$A$11)+Parametri!$A$2+(Parametri!$A$5/2)</f>
        <v>454</v>
      </c>
      <c r="H90" s="3">
        <f>(E90-Parametri!$A$8)-(Dati!A90-Parametri!$A$11)+Parametri!$A$2</f>
        <v>-454</v>
      </c>
      <c r="I90">
        <f t="shared" si="6"/>
        <v>0.11547005383792516</v>
      </c>
      <c r="J90">
        <f>Parametri!$D$8</f>
        <v>0.11547005383792516</v>
      </c>
    </row>
    <row r="91" spans="1:10" x14ac:dyDescent="0.3">
      <c r="A91" s="2">
        <f t="shared" ref="A91:A93" si="9">A90+7</f>
        <v>461</v>
      </c>
      <c r="D91">
        <f t="shared" si="5"/>
        <v>0</v>
      </c>
      <c r="E91" cm="1">
        <f t="array" ref="E91">IF(C91=0, B91, MEAN(B91:C91))</f>
        <v>0</v>
      </c>
      <c r="F91">
        <f>IF(C91=0, Parametri!$D$8, ABS(B91-C91)/(2*SQRT(3)))</f>
        <v>0.11547005383792516</v>
      </c>
      <c r="G91">
        <f>(A91-Parametri!$A$11)+Parametri!$A$2+(Parametri!$A$5/2)</f>
        <v>461</v>
      </c>
      <c r="H91" s="3">
        <f>(E91-Parametri!$A$8)-(Dati!A91-Parametri!$A$11)+Parametri!$A$2</f>
        <v>-461</v>
      </c>
      <c r="I91">
        <f t="shared" si="6"/>
        <v>0.11547005383792516</v>
      </c>
      <c r="J91">
        <f>Parametri!$D$8</f>
        <v>0.11547005383792516</v>
      </c>
    </row>
    <row r="92" spans="1:10" x14ac:dyDescent="0.3">
      <c r="A92" s="2">
        <f t="shared" si="9"/>
        <v>468</v>
      </c>
      <c r="D92">
        <f t="shared" si="5"/>
        <v>0</v>
      </c>
      <c r="E92" cm="1">
        <f t="array" ref="E92">IF(C92=0, B92, MEAN(B92:C92))</f>
        <v>0</v>
      </c>
      <c r="F92">
        <f>IF(C92=0, Parametri!$D$8, ABS(B92-C92)/(2*SQRT(3)))</f>
        <v>0.11547005383792516</v>
      </c>
      <c r="G92">
        <f>(A92-Parametri!$A$11)+Parametri!$A$2+(Parametri!$A$5/2)</f>
        <v>468</v>
      </c>
      <c r="H92" s="3">
        <f>(E92-Parametri!$A$8)-(Dati!A92-Parametri!$A$11)+Parametri!$A$2</f>
        <v>-468</v>
      </c>
      <c r="I92">
        <f t="shared" si="6"/>
        <v>0.11547005383792516</v>
      </c>
      <c r="J92">
        <f>Parametri!$D$8</f>
        <v>0.11547005383792516</v>
      </c>
    </row>
    <row r="93" spans="1:10" x14ac:dyDescent="0.3">
      <c r="A93" s="2">
        <f t="shared" si="9"/>
        <v>475</v>
      </c>
      <c r="D93">
        <f t="shared" si="5"/>
        <v>0</v>
      </c>
      <c r="E93" cm="1">
        <f t="array" ref="E93">IF(C93=0, B93, MEAN(B93:C93))</f>
        <v>0</v>
      </c>
      <c r="F93">
        <f>IF(C93=0, Parametri!$D$8, ABS(B93-C93)/(2*SQRT(3)))</f>
        <v>0.11547005383792516</v>
      </c>
      <c r="G93">
        <f>(A93-Parametri!$A$11)+Parametri!$A$2+(Parametri!$A$5/2)</f>
        <v>475</v>
      </c>
      <c r="H93" s="3">
        <f>(E93-Parametri!$A$8)-(Dati!A93-Parametri!$A$11)+Parametri!$A$2</f>
        <v>-475</v>
      </c>
      <c r="I93">
        <f t="shared" si="6"/>
        <v>0.11547005383792516</v>
      </c>
      <c r="J93">
        <f>Parametri!$D$8</f>
        <v>0.11547005383792516</v>
      </c>
    </row>
    <row r="94" spans="1:10" x14ac:dyDescent="0.3">
      <c r="A94" s="2">
        <f>A93+10</f>
        <v>485</v>
      </c>
      <c r="D94">
        <f t="shared" si="5"/>
        <v>0</v>
      </c>
      <c r="E94" cm="1">
        <f t="array" ref="E94">IF(C94=0, B94, MEAN(B94:C94))</f>
        <v>0</v>
      </c>
      <c r="F94">
        <f>IF(C94=0, Parametri!$D$8, ABS(B94-C94)/(2*SQRT(3)))</f>
        <v>0.11547005383792516</v>
      </c>
      <c r="G94">
        <f>(A94-Parametri!$A$11)+Parametri!$A$2+(Parametri!$A$5/2)</f>
        <v>485</v>
      </c>
      <c r="H94" s="3">
        <f>(E94-Parametri!$A$8)-(Dati!A94-Parametri!$A$11)+Parametri!$A$2</f>
        <v>-485</v>
      </c>
      <c r="I94">
        <f t="shared" si="6"/>
        <v>0.11547005383792516</v>
      </c>
      <c r="J94">
        <f>Parametri!$D$8</f>
        <v>0.11547005383792516</v>
      </c>
    </row>
    <row r="95" spans="1:10" x14ac:dyDescent="0.3">
      <c r="A95" s="2">
        <f t="shared" ref="A95:A103" si="10">A94+10</f>
        <v>495</v>
      </c>
      <c r="D95">
        <f t="shared" si="5"/>
        <v>0</v>
      </c>
      <c r="E95" cm="1">
        <f t="array" ref="E95">IF(C95=0, B95, MEAN(B95:C95))</f>
        <v>0</v>
      </c>
      <c r="F95">
        <f>IF(C95=0, Parametri!$D$8, ABS(B95-C95)/(2*SQRT(3)))</f>
        <v>0.11547005383792516</v>
      </c>
      <c r="G95">
        <f>(A95-Parametri!$A$11)+Parametri!$A$2+(Parametri!$A$5/2)</f>
        <v>495</v>
      </c>
      <c r="H95" s="3">
        <f>(E95-Parametri!$A$8)-(Dati!A95-Parametri!$A$11)+Parametri!$A$2</f>
        <v>-495</v>
      </c>
      <c r="I95">
        <f t="shared" si="6"/>
        <v>0.11547005383792516</v>
      </c>
      <c r="J95">
        <f>Parametri!$D$8</f>
        <v>0.11547005383792516</v>
      </c>
    </row>
    <row r="96" spans="1:10" x14ac:dyDescent="0.3">
      <c r="A96" s="2">
        <f t="shared" si="10"/>
        <v>505</v>
      </c>
      <c r="D96">
        <f t="shared" si="5"/>
        <v>0</v>
      </c>
      <c r="E96" cm="1">
        <f t="array" ref="E96">IF(C96=0, B96, MEAN(B96:C96))</f>
        <v>0</v>
      </c>
      <c r="F96">
        <f>IF(C96=0, Parametri!$D$8, ABS(B96-C96)/(2*SQRT(3)))</f>
        <v>0.11547005383792516</v>
      </c>
      <c r="G96">
        <f>(A96-Parametri!$A$11)+Parametri!$A$2+(Parametri!$A$5/2)</f>
        <v>505</v>
      </c>
      <c r="H96" s="3">
        <f>(E96-Parametri!$A$8)-(Dati!A96-Parametri!$A$11)+Parametri!$A$2</f>
        <v>-505</v>
      </c>
      <c r="I96">
        <f t="shared" si="6"/>
        <v>0.11547005383792516</v>
      </c>
      <c r="J96">
        <f>Parametri!$D$8</f>
        <v>0.11547005383792516</v>
      </c>
    </row>
    <row r="97" spans="1:10" x14ac:dyDescent="0.3">
      <c r="A97" s="2">
        <f t="shared" si="10"/>
        <v>515</v>
      </c>
      <c r="D97">
        <f t="shared" si="5"/>
        <v>0</v>
      </c>
      <c r="E97" cm="1">
        <f t="array" ref="E97">IF(C97=0, B97, MEAN(B97:C97))</f>
        <v>0</v>
      </c>
      <c r="F97">
        <f>IF(C97=0, Parametri!$D$8, ABS(B97-C97)/(2*SQRT(3)))</f>
        <v>0.11547005383792516</v>
      </c>
      <c r="G97">
        <f>(A97-Parametri!$A$11)+Parametri!$A$2+(Parametri!$A$5/2)</f>
        <v>515</v>
      </c>
      <c r="H97" s="3">
        <f>(E97-Parametri!$A$8)-(Dati!A97-Parametri!$A$11)+Parametri!$A$2</f>
        <v>-515</v>
      </c>
      <c r="I97">
        <f t="shared" si="6"/>
        <v>0.11547005383792516</v>
      </c>
      <c r="J97">
        <f>Parametri!$D$8</f>
        <v>0.11547005383792516</v>
      </c>
    </row>
    <row r="98" spans="1:10" x14ac:dyDescent="0.3">
      <c r="A98" s="2">
        <f t="shared" si="10"/>
        <v>525</v>
      </c>
      <c r="D98">
        <f t="shared" si="5"/>
        <v>0</v>
      </c>
      <c r="E98" cm="1">
        <f t="array" ref="E98">IF(C98=0, B98, MEAN(B98:C98))</f>
        <v>0</v>
      </c>
      <c r="F98">
        <f>IF(C98=0, Parametri!$D$8, ABS(B98-C98)/(2*SQRT(3)))</f>
        <v>0.11547005383792516</v>
      </c>
      <c r="G98">
        <f>(A98-Parametri!$A$11)+Parametri!$A$2+(Parametri!$A$5/2)</f>
        <v>525</v>
      </c>
      <c r="H98" s="3">
        <f>(E98-Parametri!$A$8)-(Dati!A98-Parametri!$A$11)+Parametri!$A$2</f>
        <v>-525</v>
      </c>
      <c r="I98">
        <f t="shared" si="6"/>
        <v>0.11547005383792516</v>
      </c>
      <c r="J98">
        <f>Parametri!$D$8</f>
        <v>0.11547005383792516</v>
      </c>
    </row>
    <row r="99" spans="1:10" x14ac:dyDescent="0.3">
      <c r="A99" s="2">
        <f t="shared" si="10"/>
        <v>535</v>
      </c>
      <c r="D99">
        <f t="shared" si="5"/>
        <v>0</v>
      </c>
      <c r="E99" cm="1">
        <f t="array" ref="E99">IF(C99=0, B99, MEAN(B99:C99))</f>
        <v>0</v>
      </c>
      <c r="F99">
        <f>IF(C99=0, Parametri!$D$8, ABS(B99-C99)/(2*SQRT(3)))</f>
        <v>0.11547005383792516</v>
      </c>
      <c r="G99">
        <f>(A99-Parametri!$A$11)+Parametri!$A$2+(Parametri!$A$5/2)</f>
        <v>535</v>
      </c>
      <c r="H99" s="3">
        <f>(E99-Parametri!$A$8)-(Dati!A99-Parametri!$A$11)+Parametri!$A$2</f>
        <v>-535</v>
      </c>
      <c r="I99">
        <f t="shared" si="6"/>
        <v>0.11547005383792516</v>
      </c>
      <c r="J99">
        <f>Parametri!$D$8</f>
        <v>0.11547005383792516</v>
      </c>
    </row>
    <row r="100" spans="1:10" x14ac:dyDescent="0.3">
      <c r="A100" s="2">
        <f t="shared" si="10"/>
        <v>545</v>
      </c>
      <c r="D100">
        <f t="shared" si="5"/>
        <v>0</v>
      </c>
      <c r="E100" cm="1">
        <f t="array" ref="E100">IF(C100=0, B100, MEAN(B100:C100))</f>
        <v>0</v>
      </c>
      <c r="F100">
        <f>IF(C100=0, Parametri!$D$8, ABS(B100-C100)/(2*SQRT(3)))</f>
        <v>0.11547005383792516</v>
      </c>
      <c r="G100">
        <f>(A100-Parametri!$A$11)+Parametri!$A$2+(Parametri!$A$5/2)</f>
        <v>545</v>
      </c>
      <c r="H100" s="3">
        <f>(E100-Parametri!$A$8)-(Dati!A100-Parametri!$A$11)+Parametri!$A$2</f>
        <v>-545</v>
      </c>
      <c r="I100">
        <f t="shared" si="6"/>
        <v>0.11547005383792516</v>
      </c>
      <c r="J100">
        <f>Parametri!$D$8</f>
        <v>0.11547005383792516</v>
      </c>
    </row>
    <row r="101" spans="1:10" x14ac:dyDescent="0.3">
      <c r="A101" s="2">
        <f t="shared" si="10"/>
        <v>555</v>
      </c>
      <c r="D101">
        <f t="shared" si="5"/>
        <v>0</v>
      </c>
      <c r="E101" cm="1">
        <f t="array" ref="E101">IF(C101=0, B101, MEAN(B101:C101))</f>
        <v>0</v>
      </c>
      <c r="F101">
        <f>IF(C101=0, Parametri!$D$8, ABS(B101-C101)/(2*SQRT(3)))</f>
        <v>0.11547005383792516</v>
      </c>
      <c r="G101">
        <f>(A101-Parametri!$A$11)+Parametri!$A$2+(Parametri!$A$5/2)</f>
        <v>555</v>
      </c>
      <c r="H101" s="3">
        <f>(E101-Parametri!$A$8)-(Dati!A101-Parametri!$A$11)+Parametri!$A$2</f>
        <v>-555</v>
      </c>
      <c r="I101">
        <f t="shared" si="6"/>
        <v>0.11547005383792516</v>
      </c>
      <c r="J101">
        <f>Parametri!$D$8</f>
        <v>0.11547005383792516</v>
      </c>
    </row>
    <row r="102" spans="1:10" x14ac:dyDescent="0.3">
      <c r="A102" s="2">
        <f t="shared" si="10"/>
        <v>565</v>
      </c>
      <c r="D102">
        <f t="shared" si="5"/>
        <v>0</v>
      </c>
      <c r="E102" cm="1">
        <f t="array" ref="E102">IF(C102=0, B102, MEAN(B102:C102))</f>
        <v>0</v>
      </c>
      <c r="F102">
        <f>IF(C102=0, Parametri!$D$8, ABS(B102-C102)/(2*SQRT(3)))</f>
        <v>0.11547005383792516</v>
      </c>
      <c r="G102">
        <f>(A102-Parametri!$A$11)+Parametri!$A$2+(Parametri!$A$5/2)</f>
        <v>565</v>
      </c>
      <c r="H102" s="3">
        <f>(E102-Parametri!$A$8)-(Dati!A102-Parametri!$A$11)+Parametri!$A$2</f>
        <v>-565</v>
      </c>
      <c r="I102">
        <f t="shared" si="6"/>
        <v>0.11547005383792516</v>
      </c>
      <c r="J102">
        <f>Parametri!$D$8</f>
        <v>0.11547005383792516</v>
      </c>
    </row>
    <row r="103" spans="1:10" x14ac:dyDescent="0.3">
      <c r="A103" s="2">
        <f t="shared" si="10"/>
        <v>575</v>
      </c>
      <c r="D103">
        <f t="shared" si="5"/>
        <v>0</v>
      </c>
      <c r="E103" cm="1">
        <f t="array" ref="E103">IF(C103=0, B103, MEAN(B103:C103))</f>
        <v>0</v>
      </c>
      <c r="F103">
        <f>IF(C103=0, Parametri!$D$8, ABS(B103-C103)/(2*SQRT(3)))</f>
        <v>0.11547005383792516</v>
      </c>
      <c r="G103">
        <f>(A103-Parametri!$A$11)+Parametri!$A$2+(Parametri!$A$5/2)</f>
        <v>575</v>
      </c>
      <c r="H103" s="3">
        <f>(E103-Parametri!$A$8)-(Dati!A103-Parametri!$A$11)+Parametri!$A$2</f>
        <v>-575</v>
      </c>
      <c r="I103">
        <f t="shared" si="6"/>
        <v>0.11547005383792516</v>
      </c>
      <c r="J103">
        <f>Parametri!$D$8</f>
        <v>0.11547005383792516</v>
      </c>
    </row>
    <row r="104" spans="1:10" x14ac:dyDescent="0.3">
      <c r="A104" s="2">
        <f>A103+20</f>
        <v>595</v>
      </c>
      <c r="D104">
        <f t="shared" si="5"/>
        <v>0</v>
      </c>
      <c r="E104" cm="1">
        <f t="array" ref="E104">IF(C104=0, B104, MEAN(B104:C104))</f>
        <v>0</v>
      </c>
      <c r="F104">
        <f>IF(C104=0, Parametri!$D$8, ABS(B104-C104)/(2*SQRT(3)))</f>
        <v>0.11547005383792516</v>
      </c>
      <c r="G104">
        <f>(A104-Parametri!$A$11)+Parametri!$A$2+(Parametri!$A$5/2)</f>
        <v>595</v>
      </c>
      <c r="H104" s="3">
        <f>(E104-Parametri!$A$8)-(Dati!A104-Parametri!$A$11)+Parametri!$A$2</f>
        <v>-595</v>
      </c>
      <c r="I104">
        <f t="shared" si="6"/>
        <v>0.11547005383792516</v>
      </c>
      <c r="J104">
        <f>Parametri!$D$8</f>
        <v>0.11547005383792516</v>
      </c>
    </row>
    <row r="105" spans="1:10" x14ac:dyDescent="0.3">
      <c r="A105" s="2">
        <f t="shared" ref="A105:A113" si="11">A104+20</f>
        <v>615</v>
      </c>
      <c r="D105">
        <f t="shared" si="5"/>
        <v>0</v>
      </c>
      <c r="E105" cm="1">
        <f t="array" ref="E105">IF(C105=0, B105, MEAN(B105:C105))</f>
        <v>0</v>
      </c>
      <c r="F105">
        <f>IF(C105=0, Parametri!$D$8, ABS(B105-C105)/(2*SQRT(3)))</f>
        <v>0.11547005383792516</v>
      </c>
      <c r="G105">
        <f>(A105-Parametri!$A$11)+Parametri!$A$2+(Parametri!$A$5/2)</f>
        <v>615</v>
      </c>
      <c r="H105" s="3">
        <f>(E105-Parametri!$A$8)-(Dati!A105-Parametri!$A$11)+Parametri!$A$2</f>
        <v>-615</v>
      </c>
      <c r="I105">
        <f t="shared" si="6"/>
        <v>0.11547005383792516</v>
      </c>
      <c r="J105">
        <f>Parametri!$D$8</f>
        <v>0.11547005383792516</v>
      </c>
    </row>
    <row r="106" spans="1:10" x14ac:dyDescent="0.3">
      <c r="A106" s="2">
        <f t="shared" si="11"/>
        <v>635</v>
      </c>
      <c r="D106">
        <f t="shared" si="5"/>
        <v>0</v>
      </c>
      <c r="E106" cm="1">
        <f t="array" ref="E106">IF(C106=0, B106, MEAN(B106:C106))</f>
        <v>0</v>
      </c>
      <c r="F106">
        <f>IF(C106=0, Parametri!$D$8, ABS(B106-C106)/(2*SQRT(3)))</f>
        <v>0.11547005383792516</v>
      </c>
      <c r="G106">
        <f>(A106-Parametri!$A$11)+Parametri!$A$2+(Parametri!$A$5/2)</f>
        <v>635</v>
      </c>
      <c r="H106" s="3">
        <f>(E106-Parametri!$A$8)-(Dati!A106-Parametri!$A$11)+Parametri!$A$2</f>
        <v>-635</v>
      </c>
      <c r="I106">
        <f t="shared" si="6"/>
        <v>0.11547005383792516</v>
      </c>
      <c r="J106">
        <f>Parametri!$D$8</f>
        <v>0.11547005383792516</v>
      </c>
    </row>
    <row r="107" spans="1:10" x14ac:dyDescent="0.3">
      <c r="A107" s="2">
        <f t="shared" si="11"/>
        <v>655</v>
      </c>
      <c r="D107">
        <f t="shared" si="5"/>
        <v>0</v>
      </c>
      <c r="E107" cm="1">
        <f t="array" ref="E107">IF(C107=0, B107, MEAN(B107:C107))</f>
        <v>0</v>
      </c>
      <c r="F107">
        <f>IF(C107=0, Parametri!$D$8, ABS(B107-C107)/(2*SQRT(3)))</f>
        <v>0.11547005383792516</v>
      </c>
      <c r="G107">
        <f>(A107-Parametri!$A$11)+Parametri!$A$2+(Parametri!$A$5/2)</f>
        <v>655</v>
      </c>
      <c r="H107" s="3">
        <f>(E107-Parametri!$A$8)-(Dati!A107-Parametri!$A$11)+Parametri!$A$2</f>
        <v>-655</v>
      </c>
      <c r="I107">
        <f t="shared" si="6"/>
        <v>0.11547005383792516</v>
      </c>
      <c r="J107">
        <f>Parametri!$D$8</f>
        <v>0.11547005383792516</v>
      </c>
    </row>
    <row r="108" spans="1:10" x14ac:dyDescent="0.3">
      <c r="A108" s="2">
        <f t="shared" si="11"/>
        <v>675</v>
      </c>
      <c r="D108">
        <f t="shared" si="5"/>
        <v>0</v>
      </c>
      <c r="E108" cm="1">
        <f t="array" ref="E108">IF(C108=0, B108, MEAN(B108:C108))</f>
        <v>0</v>
      </c>
      <c r="F108">
        <f>IF(C108=0, Parametri!$D$8, ABS(B108-C108)/(2*SQRT(3)))</f>
        <v>0.11547005383792516</v>
      </c>
      <c r="G108">
        <f>(A108-Parametri!$A$11)+Parametri!$A$2+(Parametri!$A$5/2)</f>
        <v>675</v>
      </c>
      <c r="H108" s="3">
        <f>(E108-Parametri!$A$8)-(Dati!A108-Parametri!$A$11)+Parametri!$A$2</f>
        <v>-675</v>
      </c>
      <c r="I108">
        <f t="shared" si="6"/>
        <v>0.11547005383792516</v>
      </c>
      <c r="J108">
        <f>Parametri!$D$8</f>
        <v>0.11547005383792516</v>
      </c>
    </row>
    <row r="109" spans="1:10" x14ac:dyDescent="0.3">
      <c r="A109" s="2">
        <f t="shared" si="11"/>
        <v>695</v>
      </c>
      <c r="D109">
        <f t="shared" si="5"/>
        <v>0</v>
      </c>
      <c r="E109" cm="1">
        <f t="array" ref="E109">IF(C109=0, B109, MEAN(B109:C109))</f>
        <v>0</v>
      </c>
      <c r="F109">
        <f>IF(C109=0, Parametri!$D$8, ABS(B109-C109)/(2*SQRT(3)))</f>
        <v>0.11547005383792516</v>
      </c>
      <c r="G109">
        <f>(A109-Parametri!$A$11)+Parametri!$A$2+(Parametri!$A$5/2)</f>
        <v>695</v>
      </c>
      <c r="H109" s="3">
        <f>(E109-Parametri!$A$8)-(Dati!A109-Parametri!$A$11)+Parametri!$A$2</f>
        <v>-695</v>
      </c>
      <c r="I109">
        <f t="shared" si="6"/>
        <v>0.11547005383792516</v>
      </c>
      <c r="J109">
        <f>Parametri!$D$8</f>
        <v>0.11547005383792516</v>
      </c>
    </row>
    <row r="110" spans="1:10" x14ac:dyDescent="0.3">
      <c r="A110" s="2">
        <f t="shared" si="11"/>
        <v>715</v>
      </c>
      <c r="D110">
        <f t="shared" si="5"/>
        <v>0</v>
      </c>
      <c r="E110" cm="1">
        <f t="array" ref="E110">IF(C110=0, B110, MEAN(B110:C110))</f>
        <v>0</v>
      </c>
      <c r="F110">
        <f>IF(C110=0, Parametri!$D$8, ABS(B110-C110)/(2*SQRT(3)))</f>
        <v>0.11547005383792516</v>
      </c>
      <c r="G110">
        <f>(A110-Parametri!$A$11)+Parametri!$A$2+(Parametri!$A$5/2)</f>
        <v>715</v>
      </c>
      <c r="H110" s="3">
        <f>(E110-Parametri!$A$8)-(Dati!A110-Parametri!$A$11)+Parametri!$A$2</f>
        <v>-715</v>
      </c>
      <c r="I110">
        <f t="shared" si="6"/>
        <v>0.11547005383792516</v>
      </c>
      <c r="J110">
        <f>Parametri!$D$8</f>
        <v>0.11547005383792516</v>
      </c>
    </row>
    <row r="111" spans="1:10" x14ac:dyDescent="0.3">
      <c r="A111" s="2">
        <f t="shared" si="11"/>
        <v>735</v>
      </c>
      <c r="D111">
        <f t="shared" si="5"/>
        <v>0</v>
      </c>
      <c r="E111" cm="1">
        <f t="array" ref="E111">IF(C111=0, B111, MEAN(B111:C111))</f>
        <v>0</v>
      </c>
      <c r="F111">
        <f>IF(C111=0, Parametri!$D$8, ABS(B111-C111)/(2*SQRT(3)))</f>
        <v>0.11547005383792516</v>
      </c>
      <c r="G111">
        <f>(A111-Parametri!$A$11)+Parametri!$A$2+(Parametri!$A$5/2)</f>
        <v>735</v>
      </c>
      <c r="H111" s="3">
        <f>(E111-Parametri!$A$8)-(Dati!A111-Parametri!$A$11)+Parametri!$A$2</f>
        <v>-735</v>
      </c>
      <c r="I111">
        <f t="shared" si="6"/>
        <v>0.11547005383792516</v>
      </c>
      <c r="J111">
        <f>Parametri!$D$8</f>
        <v>0.11547005383792516</v>
      </c>
    </row>
    <row r="112" spans="1:10" x14ac:dyDescent="0.3">
      <c r="A112" s="2">
        <f t="shared" si="11"/>
        <v>755</v>
      </c>
      <c r="D112">
        <f t="shared" si="5"/>
        <v>0</v>
      </c>
      <c r="E112" cm="1">
        <f t="array" ref="E112">IF(C112=0, B112, MEAN(B112:C112))</f>
        <v>0</v>
      </c>
      <c r="F112">
        <f>IF(C112=0, Parametri!$D$8, ABS(B112-C112)/(2*SQRT(3)))</f>
        <v>0.11547005383792516</v>
      </c>
      <c r="G112">
        <f>(A112-Parametri!$A$11)+Parametri!$A$2+(Parametri!$A$5/2)</f>
        <v>755</v>
      </c>
      <c r="H112" s="3">
        <f>(E112-Parametri!$A$8)-(Dati!A112-Parametri!$A$11)+Parametri!$A$2</f>
        <v>-755</v>
      </c>
      <c r="I112">
        <f t="shared" si="6"/>
        <v>0.11547005383792516</v>
      </c>
      <c r="J112">
        <f>Parametri!$D$8</f>
        <v>0.11547005383792516</v>
      </c>
    </row>
    <row r="113" spans="1:10" x14ac:dyDescent="0.3">
      <c r="A113" s="2">
        <f t="shared" si="11"/>
        <v>775</v>
      </c>
      <c r="D113">
        <f t="shared" si="5"/>
        <v>0</v>
      </c>
      <c r="E113" cm="1">
        <f t="array" ref="E113">IF(C113=0, B113, MEAN(B113:C113))</f>
        <v>0</v>
      </c>
      <c r="F113">
        <f>IF(C113=0, Parametri!$D$8, ABS(B113-C113)/(2*SQRT(3)))</f>
        <v>0.11547005383792516</v>
      </c>
      <c r="G113">
        <f>(A113-Parametri!$A$11)+Parametri!$A$2+(Parametri!$A$5/2)</f>
        <v>775</v>
      </c>
      <c r="H113" s="3">
        <f>(E113-Parametri!$A$8)-(Dati!A113-Parametri!$A$11)+Parametri!$A$2</f>
        <v>-775</v>
      </c>
      <c r="I113">
        <f t="shared" si="6"/>
        <v>0.11547005383792516</v>
      </c>
      <c r="J113">
        <f>Parametri!$D$8</f>
        <v>0.11547005383792516</v>
      </c>
    </row>
    <row r="114" spans="1:10" x14ac:dyDescent="0.3">
      <c r="A114" s="2">
        <f>A113+50</f>
        <v>825</v>
      </c>
      <c r="D114">
        <f t="shared" si="5"/>
        <v>0</v>
      </c>
      <c r="E114" cm="1">
        <f t="array" ref="E114">IF(C114=0, B114, MEAN(B114:C114))</f>
        <v>0</v>
      </c>
      <c r="F114">
        <f>IF(C114=0, Parametri!$D$8, ABS(B114-C114)/(2*SQRT(3)))</f>
        <v>0.11547005383792516</v>
      </c>
      <c r="G114">
        <f>(A114-Parametri!$A$11)+Parametri!$A$2+(Parametri!$A$5/2)</f>
        <v>825</v>
      </c>
      <c r="H114" s="3">
        <f>(E114-Parametri!$A$8)-(Dati!A114-Parametri!$A$11)+Parametri!$A$2</f>
        <v>-825</v>
      </c>
      <c r="I114">
        <f t="shared" si="6"/>
        <v>0.11547005383792516</v>
      </c>
      <c r="J114">
        <f>Parametri!$D$8</f>
        <v>0.11547005383792516</v>
      </c>
    </row>
    <row r="115" spans="1:10" x14ac:dyDescent="0.3">
      <c r="A115" s="2">
        <f t="shared" ref="A115:A118" si="12">A114+50</f>
        <v>875</v>
      </c>
      <c r="D115">
        <f t="shared" si="5"/>
        <v>0</v>
      </c>
      <c r="E115" cm="1">
        <f t="array" ref="E115">IF(C115=0, B115, MEAN(B115:C115))</f>
        <v>0</v>
      </c>
      <c r="F115">
        <f>IF(C115=0, Parametri!$D$8, ABS(B115-C115)/(2*SQRT(3)))</f>
        <v>0.11547005383792516</v>
      </c>
      <c r="G115">
        <f>(A115-Parametri!$A$11)+Parametri!$A$2+(Parametri!$A$5/2)</f>
        <v>875</v>
      </c>
      <c r="H115" s="3">
        <f>(E115-Parametri!$A$8)-(Dati!A115-Parametri!$A$11)+Parametri!$A$2</f>
        <v>-875</v>
      </c>
      <c r="I115">
        <f t="shared" si="6"/>
        <v>0.11547005383792516</v>
      </c>
      <c r="J115">
        <f>Parametri!$D$8</f>
        <v>0.11547005383792516</v>
      </c>
    </row>
    <row r="116" spans="1:10" x14ac:dyDescent="0.3">
      <c r="A116" s="2">
        <f t="shared" si="12"/>
        <v>925</v>
      </c>
      <c r="D116">
        <f t="shared" si="5"/>
        <v>0</v>
      </c>
      <c r="E116" cm="1">
        <f t="array" ref="E116">IF(C116=0, B116, MEAN(B116:C116))</f>
        <v>0</v>
      </c>
      <c r="F116">
        <f>IF(C116=0, Parametri!$D$8, ABS(B116-C116)/(2*SQRT(3)))</f>
        <v>0.11547005383792516</v>
      </c>
      <c r="G116">
        <f>(A116-Parametri!$A$11)+Parametri!$A$2+(Parametri!$A$5/2)</f>
        <v>925</v>
      </c>
      <c r="H116" s="3">
        <f>(E116-Parametri!$A$8)-(Dati!A116-Parametri!$A$11)+Parametri!$A$2</f>
        <v>-925</v>
      </c>
      <c r="I116">
        <f t="shared" si="6"/>
        <v>0.11547005383792516</v>
      </c>
      <c r="J116">
        <f>Parametri!$D$8</f>
        <v>0.11547005383792516</v>
      </c>
    </row>
    <row r="117" spans="1:10" x14ac:dyDescent="0.3">
      <c r="A117" s="2">
        <f t="shared" si="12"/>
        <v>975</v>
      </c>
      <c r="D117">
        <f t="shared" si="5"/>
        <v>0</v>
      </c>
      <c r="E117" cm="1">
        <f t="array" ref="E117">IF(C117=0, B117, MEAN(B117:C117))</f>
        <v>0</v>
      </c>
      <c r="F117">
        <f>IF(C117=0, Parametri!$D$8, ABS(B117-C117)/(2*SQRT(3)))</f>
        <v>0.11547005383792516</v>
      </c>
      <c r="G117">
        <f>(A117-Parametri!$A$11)+Parametri!$A$2+(Parametri!$A$5/2)</f>
        <v>975</v>
      </c>
      <c r="H117" s="3">
        <f>(E117-Parametri!$A$8)-(Dati!A117-Parametri!$A$11)+Parametri!$A$2</f>
        <v>-975</v>
      </c>
      <c r="I117">
        <f t="shared" si="6"/>
        <v>0.11547005383792516</v>
      </c>
      <c r="J117">
        <f>Parametri!$D$8</f>
        <v>0.11547005383792516</v>
      </c>
    </row>
    <row r="118" spans="1:10" x14ac:dyDescent="0.3">
      <c r="A118" s="2">
        <f t="shared" si="12"/>
        <v>1025</v>
      </c>
      <c r="D118">
        <f t="shared" si="5"/>
        <v>0</v>
      </c>
      <c r="E118" cm="1">
        <f t="array" ref="E118">IF(C118=0, B118, MEAN(B118:C118))</f>
        <v>0</v>
      </c>
      <c r="F118">
        <f>IF(C118=0, Parametri!$D$8, ABS(B118-C118)/(2*SQRT(3)))</f>
        <v>0.11547005383792516</v>
      </c>
      <c r="G118">
        <f>(A118-Parametri!$A$11)+Parametri!$A$2+(Parametri!$A$5/2)</f>
        <v>1025</v>
      </c>
      <c r="H118" s="3">
        <f>(E118-Parametri!$A$8)-(Dati!A118-Parametri!$A$11)+Parametri!$A$2</f>
        <v>-1025</v>
      </c>
      <c r="I118">
        <f t="shared" si="6"/>
        <v>0.11547005383792516</v>
      </c>
      <c r="J118">
        <f>Parametri!$D$8</f>
        <v>0.11547005383792516</v>
      </c>
    </row>
    <row r="119" spans="1:10" x14ac:dyDescent="0.3">
      <c r="A119" s="2">
        <f>A118+50</f>
        <v>1075</v>
      </c>
      <c r="D119">
        <f t="shared" si="5"/>
        <v>0</v>
      </c>
      <c r="E119" cm="1">
        <f t="array" ref="E119">IF(C119=0, B119, MEAN(B119:C119))</f>
        <v>0</v>
      </c>
      <c r="F119">
        <f>IF(C119=0, Parametri!$D$8, ABS(B119-C119)/(2*SQRT(3)))</f>
        <v>0.11547005383792516</v>
      </c>
      <c r="G119">
        <f>(A119-Parametri!$A$11)+Parametri!$A$2+(Parametri!$A$5/2)</f>
        <v>1075</v>
      </c>
      <c r="H119" s="3">
        <f>(E119-Parametri!$A$8)-(Dati!A119-Parametri!$A$11)+Parametri!$A$2</f>
        <v>-1075</v>
      </c>
      <c r="I119">
        <f t="shared" si="6"/>
        <v>0.11547005383792516</v>
      </c>
      <c r="J119">
        <f>Parametri!$D$8</f>
        <v>0.11547005383792516</v>
      </c>
    </row>
    <row r="120" spans="1:10" x14ac:dyDescent="0.3">
      <c r="A120" s="2">
        <f>A119+100</f>
        <v>1175</v>
      </c>
      <c r="D120">
        <f t="shared" si="5"/>
        <v>0</v>
      </c>
      <c r="E120" cm="1">
        <f t="array" ref="E120">IF(C120=0, B120, MEAN(B120:C120))</f>
        <v>0</v>
      </c>
      <c r="F120">
        <f>IF(C120=0, Parametri!$D$8, ABS(B120-C120)/(2*SQRT(3)))</f>
        <v>0.11547005383792516</v>
      </c>
      <c r="G120">
        <f>(A120-Parametri!$A$11)+Parametri!$A$2+(Parametri!$A$5/2)</f>
        <v>1175</v>
      </c>
      <c r="H120" s="3">
        <f>(E120-Parametri!$A$8)-(Dati!A120-Parametri!$A$11)+Parametri!$A$2</f>
        <v>-1175</v>
      </c>
      <c r="I120">
        <f t="shared" si="6"/>
        <v>0.11547005383792516</v>
      </c>
      <c r="J120">
        <f>Parametri!$D$8</f>
        <v>0.11547005383792516</v>
      </c>
    </row>
    <row r="121" spans="1:10" x14ac:dyDescent="0.3">
      <c r="A121" s="2">
        <f t="shared" ref="A121:A125" si="13">A120+100</f>
        <v>1275</v>
      </c>
      <c r="D121">
        <f t="shared" si="5"/>
        <v>0</v>
      </c>
      <c r="E121" cm="1">
        <f t="array" ref="E121">IF(C121=0, B121, MEAN(B121:C121))</f>
        <v>0</v>
      </c>
      <c r="F121">
        <f>IF(C121=0, Parametri!$D$8, ABS(B121-C121)/(2*SQRT(3)))</f>
        <v>0.11547005383792516</v>
      </c>
      <c r="G121">
        <f>(A121-Parametri!$A$11)+Parametri!$A$2+(Parametri!$A$5/2)</f>
        <v>1275</v>
      </c>
      <c r="H121" s="3">
        <f>(E121-Parametri!$A$8)-(Dati!A121-Parametri!$A$11)+Parametri!$A$2</f>
        <v>-1275</v>
      </c>
      <c r="I121">
        <f t="shared" si="6"/>
        <v>0.11547005383792516</v>
      </c>
      <c r="J121">
        <f>Parametri!$D$8</f>
        <v>0.11547005383792516</v>
      </c>
    </row>
    <row r="122" spans="1:10" x14ac:dyDescent="0.3">
      <c r="A122" s="2">
        <f t="shared" si="13"/>
        <v>1375</v>
      </c>
      <c r="D122">
        <f t="shared" si="5"/>
        <v>0</v>
      </c>
      <c r="E122" cm="1">
        <f t="array" ref="E122">IF(C122=0, B122, MEAN(B122:C122))</f>
        <v>0</v>
      </c>
      <c r="F122">
        <f>IF(C122=0, Parametri!$D$8, ABS(B122-C122)/(2*SQRT(3)))</f>
        <v>0.11547005383792516</v>
      </c>
      <c r="G122">
        <f>(A122-Parametri!$A$11)+Parametri!$A$2+(Parametri!$A$5/2)</f>
        <v>1375</v>
      </c>
      <c r="H122" s="3">
        <f>(E122-Parametri!$A$8)-(Dati!A122-Parametri!$A$11)+Parametri!$A$2</f>
        <v>-1375</v>
      </c>
      <c r="I122">
        <f t="shared" si="6"/>
        <v>0.11547005383792516</v>
      </c>
      <c r="J122">
        <f>Parametri!$D$8</f>
        <v>0.11547005383792516</v>
      </c>
    </row>
    <row r="123" spans="1:10" x14ac:dyDescent="0.3">
      <c r="A123" s="2">
        <f t="shared" si="13"/>
        <v>1475</v>
      </c>
      <c r="D123">
        <f t="shared" si="5"/>
        <v>0</v>
      </c>
      <c r="E123" cm="1">
        <f t="array" ref="E123">IF(C123=0, B123, MEAN(B123:C123))</f>
        <v>0</v>
      </c>
      <c r="F123">
        <f>IF(C123=0, Parametri!$D$8, ABS(B123-C123)/(2*SQRT(3)))</f>
        <v>0.11547005383792516</v>
      </c>
      <c r="G123">
        <f>(A123-Parametri!$A$11)+Parametri!$A$2+(Parametri!$A$5/2)</f>
        <v>1475</v>
      </c>
      <c r="H123" s="3">
        <f>(E123-Parametri!$A$8)-(Dati!A123-Parametri!$A$11)+Parametri!$A$2</f>
        <v>-1475</v>
      </c>
      <c r="I123">
        <f t="shared" si="6"/>
        <v>0.11547005383792516</v>
      </c>
      <c r="J123">
        <f>Parametri!$D$8</f>
        <v>0.11547005383792516</v>
      </c>
    </row>
    <row r="124" spans="1:10" x14ac:dyDescent="0.3">
      <c r="A124" s="2">
        <f t="shared" si="13"/>
        <v>1575</v>
      </c>
      <c r="D124">
        <f t="shared" si="5"/>
        <v>0</v>
      </c>
      <c r="E124" cm="1">
        <f t="array" ref="E124">IF(C124=0, B124, MEAN(B124:C124))</f>
        <v>0</v>
      </c>
      <c r="F124">
        <f>IF(C124=0, Parametri!$D$8, ABS(B124-C124)/(2*SQRT(3)))</f>
        <v>0.11547005383792516</v>
      </c>
      <c r="G124">
        <f>(A124-Parametri!$A$11)+Parametri!$A$2+(Parametri!$A$5/2)</f>
        <v>1575</v>
      </c>
      <c r="H124" s="3">
        <f>(E124-Parametri!$A$8)-(Dati!A124-Parametri!$A$11)+Parametri!$A$2</f>
        <v>-1575</v>
      </c>
      <c r="I124">
        <f t="shared" si="6"/>
        <v>0.11547005383792516</v>
      </c>
      <c r="J124">
        <f>Parametri!$D$8</f>
        <v>0.11547005383792516</v>
      </c>
    </row>
    <row r="125" spans="1:10" x14ac:dyDescent="0.3">
      <c r="A125" s="2">
        <f t="shared" si="13"/>
        <v>1675</v>
      </c>
      <c r="D125">
        <f t="shared" si="5"/>
        <v>0</v>
      </c>
      <c r="E125" cm="1">
        <f t="array" ref="E125">IF(C125=0, B125, MEAN(B125:C125))</f>
        <v>0</v>
      </c>
      <c r="F125">
        <f>IF(C125=0, Parametri!$D$8, ABS(B125-C125)/(2*SQRT(3)))</f>
        <v>0.11547005383792516</v>
      </c>
      <c r="G125">
        <f>(A125-Parametri!$A$11)+Parametri!$A$2+(Parametri!$A$5/2)</f>
        <v>1675</v>
      </c>
      <c r="H125" s="3">
        <f>(E125-Parametri!$A$8)-(Dati!A125-Parametri!$A$11)+Parametri!$A$2</f>
        <v>-1675</v>
      </c>
      <c r="I125">
        <f t="shared" si="6"/>
        <v>0.11547005383792516</v>
      </c>
      <c r="J125">
        <f>Parametri!$D$8</f>
        <v>0.11547005383792516</v>
      </c>
    </row>
    <row r="126" spans="1:10" x14ac:dyDescent="0.3">
      <c r="D126">
        <f t="shared" si="5"/>
        <v>0</v>
      </c>
      <c r="E126" cm="1">
        <f t="array" ref="E126">IF(C126=0, B126, MEAN(B126:C126))</f>
        <v>0</v>
      </c>
      <c r="F126">
        <f>IF(C126=0, Parametri!$D$8, ABS(B126-C126)/(2*SQRT(3)))</f>
        <v>0.11547005383792516</v>
      </c>
      <c r="G126">
        <f>(A126-Parametri!$A$11)+Parametri!$A$2+(Parametri!$A$5/2)</f>
        <v>0</v>
      </c>
      <c r="H126" s="3">
        <f>(E126-Parametri!$A$8)-(Dati!A126-Parametri!$A$11)+Parametri!$A$2</f>
        <v>0</v>
      </c>
      <c r="I126">
        <f t="shared" si="6"/>
        <v>0.11547005383792516</v>
      </c>
      <c r="J126">
        <f>Parametri!$D$8</f>
        <v>0.11547005383792516</v>
      </c>
    </row>
    <row r="127" spans="1:10" x14ac:dyDescent="0.3">
      <c r="D127">
        <f t="shared" si="5"/>
        <v>0</v>
      </c>
      <c r="E127" cm="1">
        <f t="array" ref="E127">IF(C127=0, B127, MEAN(B127:C127))</f>
        <v>0</v>
      </c>
      <c r="F127">
        <f>IF(C127=0, Parametri!$D$8, ABS(B127-C127)/(2*SQRT(3)))</f>
        <v>0.11547005383792516</v>
      </c>
      <c r="G127">
        <f>(A127-Parametri!$A$11)+Parametri!$A$2+(Parametri!$A$5/2)</f>
        <v>0</v>
      </c>
      <c r="H127" s="3">
        <f>(E127-Parametri!$A$8)-(Dati!A127-Parametri!$A$11)+Parametri!$A$2</f>
        <v>0</v>
      </c>
      <c r="I127">
        <f t="shared" si="6"/>
        <v>0.11547005383792516</v>
      </c>
      <c r="J127">
        <f>Parametri!$D$8</f>
        <v>0.11547005383792516</v>
      </c>
    </row>
    <row r="128" spans="1:10" x14ac:dyDescent="0.3">
      <c r="D128">
        <f t="shared" si="5"/>
        <v>0</v>
      </c>
      <c r="E128" cm="1">
        <f t="array" ref="E128">IF(C128=0, B128, MEAN(B128:C128))</f>
        <v>0</v>
      </c>
      <c r="F128">
        <f>IF(C128=0, Parametri!$D$8, ABS(B128-C128)/(2*SQRT(3)))</f>
        <v>0.11547005383792516</v>
      </c>
      <c r="G128">
        <f>(A128-Parametri!$A$11)+Parametri!$A$2+(Parametri!$A$5/2)</f>
        <v>0</v>
      </c>
      <c r="H128" s="3">
        <f>(E128-Parametri!$A$8)-(Dati!A128-Parametri!$A$11)+Parametri!$A$2</f>
        <v>0</v>
      </c>
      <c r="I128">
        <f t="shared" si="6"/>
        <v>0.11547005383792516</v>
      </c>
      <c r="J128">
        <f>Parametri!$D$8</f>
        <v>0.11547005383792516</v>
      </c>
    </row>
    <row r="129" spans="1:10" x14ac:dyDescent="0.3">
      <c r="D129">
        <f t="shared" si="5"/>
        <v>0</v>
      </c>
      <c r="E129" cm="1">
        <f t="array" ref="E129">IF(C129=0, B129, MEAN(B129:C129))</f>
        <v>0</v>
      </c>
      <c r="F129">
        <f>IF(C129=0, Parametri!$D$8, ABS(B129-C129)/(2*SQRT(3)))</f>
        <v>0.11547005383792516</v>
      </c>
      <c r="G129">
        <f>(A129-Parametri!$A$11)+Parametri!$A$2+(Parametri!$A$5/2)</f>
        <v>0</v>
      </c>
      <c r="H129" s="3">
        <f>(E129-Parametri!$A$8)-(Dati!A129-Parametri!$A$11)+Parametri!$A$2</f>
        <v>0</v>
      </c>
      <c r="I129">
        <f t="shared" si="6"/>
        <v>0.11547005383792516</v>
      </c>
      <c r="J129">
        <f>Parametri!$D$8</f>
        <v>0.11547005383792516</v>
      </c>
    </row>
    <row r="130" spans="1:10" x14ac:dyDescent="0.3">
      <c r="A130">
        <v>1675</v>
      </c>
      <c r="B130">
        <v>1902</v>
      </c>
      <c r="D130">
        <f t="shared" si="5"/>
        <v>5706</v>
      </c>
      <c r="E130" cm="1">
        <f t="array" ref="E130">IF(C130=0, B130, MEAN(B130:C130))</f>
        <v>1902</v>
      </c>
      <c r="F130">
        <f>IF(C130=0, Parametri!$D$8, ABS(B130-C130)/(2*SQRT(3)))</f>
        <v>0.11547005383792516</v>
      </c>
      <c r="G130">
        <f>(A130-Parametri!$A$11)+Parametri!$A$2+(Parametri!$A$5/2)</f>
        <v>1675</v>
      </c>
      <c r="H130" s="3">
        <f>(E130-Parametri!$A$8)-(Dati!A130-Parametri!$A$11)+Parametri!$A$2</f>
        <v>227</v>
      </c>
      <c r="I130">
        <f t="shared" si="6"/>
        <v>0.11547005383792516</v>
      </c>
      <c r="J130">
        <f>Parametri!$D$8</f>
        <v>0.11547005383792516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C6E3A01A79A4BB6F66956A6120D17" ma:contentTypeVersion="10" ma:contentTypeDescription="Creare un nuovo documento." ma:contentTypeScope="" ma:versionID="e3c69ea4484af81787e2f2ca5b7c2d90">
  <xsd:schema xmlns:xsd="http://www.w3.org/2001/XMLSchema" xmlns:xs="http://www.w3.org/2001/XMLSchema" xmlns:p="http://schemas.microsoft.com/office/2006/metadata/properties" xmlns:ns3="21343963-c43f-42a4-b0bc-b203e64410f4" targetNamespace="http://schemas.microsoft.com/office/2006/metadata/properties" ma:root="true" ma:fieldsID="e2990c14f9044d85e8ac9d5a1ddf0edc" ns3:_="">
    <xsd:import namespace="21343963-c43f-42a4-b0bc-b203e64410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43963-c43f-42a4-b0bc-b203e64410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343963-c43f-42a4-b0bc-b203e64410f4" xsi:nil="true"/>
  </documentManagement>
</p:properties>
</file>

<file path=customXml/itemProps1.xml><?xml version="1.0" encoding="utf-8"?>
<ds:datastoreItem xmlns:ds="http://schemas.openxmlformats.org/officeDocument/2006/customXml" ds:itemID="{6772E113-8687-46B6-B4A0-2A365FDF9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43963-c43f-42a4-b0bc-b203e6441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EBBE4C-4513-4684-8667-BB58B10945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50DC1C-3B4F-45D5-BBC6-27ED552170CB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21343963-c43f-42a4-b0bc-b203e64410f4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Parametri</vt:lpstr>
      <vt:lpstr>Dati (2)</vt:lpstr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mirolo</dc:creator>
  <cp:lastModifiedBy>MIROLO MANUELE [SM2001968]</cp:lastModifiedBy>
  <dcterms:created xsi:type="dcterms:W3CDTF">2015-06-05T18:17:20Z</dcterms:created>
  <dcterms:modified xsi:type="dcterms:W3CDTF">2026-10-15T11:49:50Z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0x010100150C6E3A01A79A4BB6F66956A6120D17</vt:lpwstr>
  </property>
</Properties>
</file>