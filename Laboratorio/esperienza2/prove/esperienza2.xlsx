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I ANNO\Laboratorio-di-Ottica\Laboratorio\esperienza2\prove\"/>
    </mc:Choice>
  </mc:AlternateContent>
  <xr:revisionPtr revIDLastSave="0" documentId="13_ncr:1_{C939CBC3-6977-412D-B250-39F1B618594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arametri" sheetId="1" r:id="rId1"/>
    <sheet name="Dati (2)" sheetId="2" r:id="rId2"/>
    <sheet name="Dati" sheetId="3" r:id="rId3"/>
    <sheet name="Data" sheetId="6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99" i="2" l="1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98" i="2"/>
  <c r="G6" i="2"/>
  <c r="D11" i="1"/>
  <c r="C11" i="1"/>
  <c r="D8" i="1"/>
  <c r="C8" i="1"/>
  <c r="J125" i="2"/>
  <c r="F125" i="2"/>
  <c r="I125" i="2" s="1"/>
  <c r="D125" i="2"/>
  <c r="J124" i="2"/>
  <c r="F124" i="2"/>
  <c r="I124" i="2" s="1"/>
  <c r="D124" i="2"/>
  <c r="J123" i="2"/>
  <c r="F123" i="2"/>
  <c r="I123" i="2" s="1"/>
  <c r="D123" i="2"/>
  <c r="J122" i="2"/>
  <c r="F122" i="2"/>
  <c r="I122" i="2" s="1"/>
  <c r="D122" i="2"/>
  <c r="J121" i="2"/>
  <c r="F121" i="2"/>
  <c r="I121" i="2" s="1"/>
  <c r="D121" i="2"/>
  <c r="J120" i="2"/>
  <c r="F120" i="2"/>
  <c r="I120" i="2" s="1"/>
  <c r="D120" i="2"/>
  <c r="J119" i="2"/>
  <c r="F119" i="2"/>
  <c r="I119" i="2" s="1"/>
  <c r="D119" i="2"/>
  <c r="J118" i="2"/>
  <c r="F118" i="2"/>
  <c r="I118" i="2" s="1"/>
  <c r="D118" i="2"/>
  <c r="J117" i="2"/>
  <c r="F117" i="2"/>
  <c r="I117" i="2" s="1"/>
  <c r="D117" i="2"/>
  <c r="J116" i="2"/>
  <c r="F116" i="2"/>
  <c r="I116" i="2" s="1"/>
  <c r="D116" i="2"/>
  <c r="J115" i="2"/>
  <c r="F115" i="2"/>
  <c r="I115" i="2" s="1"/>
  <c r="D115" i="2"/>
  <c r="J114" i="2"/>
  <c r="F114" i="2"/>
  <c r="I114" i="2" s="1"/>
  <c r="D114" i="2"/>
  <c r="J113" i="2"/>
  <c r="F113" i="2"/>
  <c r="I113" i="2" s="1"/>
  <c r="D113" i="2"/>
  <c r="J112" i="2"/>
  <c r="F112" i="2"/>
  <c r="I112" i="2" s="1"/>
  <c r="D112" i="2"/>
  <c r="J111" i="2"/>
  <c r="F111" i="2"/>
  <c r="I111" i="2" s="1"/>
  <c r="D111" i="2"/>
  <c r="J110" i="2"/>
  <c r="F110" i="2"/>
  <c r="I110" i="2" s="1"/>
  <c r="D110" i="2"/>
  <c r="J109" i="2"/>
  <c r="F109" i="2"/>
  <c r="I109" i="2" s="1"/>
  <c r="D109" i="2"/>
  <c r="J108" i="2"/>
  <c r="F108" i="2"/>
  <c r="I108" i="2" s="1"/>
  <c r="D108" i="2"/>
  <c r="J107" i="2"/>
  <c r="F107" i="2"/>
  <c r="I107" i="2" s="1"/>
  <c r="D107" i="2"/>
  <c r="J106" i="2"/>
  <c r="F106" i="2"/>
  <c r="I106" i="2" s="1"/>
  <c r="D106" i="2"/>
  <c r="J105" i="2"/>
  <c r="F105" i="2"/>
  <c r="I105" i="2" s="1"/>
  <c r="D105" i="2"/>
  <c r="J104" i="2"/>
  <c r="F104" i="2"/>
  <c r="I104" i="2" s="1"/>
  <c r="D104" i="2"/>
  <c r="J103" i="2"/>
  <c r="F103" i="2"/>
  <c r="I103" i="2" s="1"/>
  <c r="D103" i="2"/>
  <c r="J102" i="2"/>
  <c r="F102" i="2"/>
  <c r="I102" i="2" s="1"/>
  <c r="D102" i="2"/>
  <c r="J101" i="2"/>
  <c r="F101" i="2"/>
  <c r="I101" i="2" s="1"/>
  <c r="D101" i="2"/>
  <c r="J100" i="2"/>
  <c r="F100" i="2"/>
  <c r="I100" i="2" s="1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3" i="2"/>
  <c r="H2" i="2"/>
  <c r="G2" i="2"/>
  <c r="D2" i="2"/>
  <c r="F5" i="2" l="1"/>
  <c r="I5" i="2" s="1"/>
  <c r="F2" i="2"/>
  <c r="I2" i="2" s="1"/>
  <c r="J2" i="2"/>
  <c r="J99" i="2"/>
  <c r="F99" i="2"/>
  <c r="I99" i="2" s="1"/>
  <c r="J98" i="2"/>
  <c r="F98" i="2"/>
  <c r="I98" i="2" s="1"/>
  <c r="J97" i="2"/>
  <c r="F97" i="2"/>
  <c r="I97" i="2" s="1"/>
  <c r="J96" i="2"/>
  <c r="F96" i="2"/>
  <c r="I96" i="2" s="1"/>
  <c r="J95" i="2"/>
  <c r="F95" i="2"/>
  <c r="I95" i="2" s="1"/>
  <c r="J94" i="2"/>
  <c r="F94" i="2"/>
  <c r="I94" i="2" s="1"/>
  <c r="J93" i="2"/>
  <c r="F93" i="2"/>
  <c r="I93" i="2" s="1"/>
  <c r="J92" i="2"/>
  <c r="F92" i="2"/>
  <c r="I92" i="2" s="1"/>
  <c r="J91" i="2"/>
  <c r="F91" i="2"/>
  <c r="I91" i="2" s="1"/>
  <c r="J90" i="2"/>
  <c r="F90" i="2"/>
  <c r="I90" i="2" s="1"/>
  <c r="J89" i="2"/>
  <c r="F89" i="2"/>
  <c r="I89" i="2" s="1"/>
  <c r="J88" i="2"/>
  <c r="F88" i="2"/>
  <c r="I88" i="2" s="1"/>
  <c r="J87" i="2"/>
  <c r="F87" i="2"/>
  <c r="I87" i="2" s="1"/>
  <c r="J86" i="2"/>
  <c r="F86" i="2"/>
  <c r="I86" i="2" s="1"/>
  <c r="J85" i="2"/>
  <c r="F85" i="2"/>
  <c r="I85" i="2" s="1"/>
  <c r="J84" i="2"/>
  <c r="F84" i="2"/>
  <c r="I84" i="2" s="1"/>
  <c r="J83" i="2"/>
  <c r="F83" i="2"/>
  <c r="I83" i="2" s="1"/>
  <c r="J82" i="2"/>
  <c r="F82" i="2"/>
  <c r="I82" i="2" s="1"/>
  <c r="J81" i="2"/>
  <c r="F81" i="2"/>
  <c r="I81" i="2" s="1"/>
  <c r="J80" i="2"/>
  <c r="F80" i="2"/>
  <c r="I80" i="2" s="1"/>
  <c r="J79" i="2"/>
  <c r="F79" i="2"/>
  <c r="I79" i="2" s="1"/>
  <c r="J78" i="2"/>
  <c r="F78" i="2"/>
  <c r="I78" i="2" s="1"/>
  <c r="J77" i="2"/>
  <c r="F77" i="2"/>
  <c r="I77" i="2" s="1"/>
  <c r="J76" i="2"/>
  <c r="F76" i="2"/>
  <c r="I76" i="2" s="1"/>
  <c r="J75" i="2"/>
  <c r="F75" i="2"/>
  <c r="I75" i="2" s="1"/>
  <c r="J74" i="2"/>
  <c r="F74" i="2"/>
  <c r="I74" i="2" s="1"/>
  <c r="J73" i="2"/>
  <c r="F73" i="2"/>
  <c r="I73" i="2" s="1"/>
  <c r="J72" i="2"/>
  <c r="F72" i="2"/>
  <c r="I72" i="2" s="1"/>
  <c r="J71" i="2"/>
  <c r="F71" i="2"/>
  <c r="I71" i="2" s="1"/>
  <c r="J70" i="2"/>
  <c r="F70" i="2"/>
  <c r="I70" i="2" s="1"/>
  <c r="J69" i="2"/>
  <c r="F69" i="2"/>
  <c r="I69" i="2" s="1"/>
  <c r="J68" i="2"/>
  <c r="F68" i="2"/>
  <c r="I68" i="2" s="1"/>
  <c r="J67" i="2"/>
  <c r="F67" i="2"/>
  <c r="I67" i="2" s="1"/>
  <c r="J66" i="2"/>
  <c r="F66" i="2"/>
  <c r="I66" i="2" s="1"/>
  <c r="J65" i="2"/>
  <c r="F65" i="2"/>
  <c r="I65" i="2" s="1"/>
  <c r="J64" i="2"/>
  <c r="F64" i="2"/>
  <c r="I64" i="2" s="1"/>
  <c r="J63" i="2"/>
  <c r="F63" i="2"/>
  <c r="I63" i="2" s="1"/>
  <c r="J62" i="2"/>
  <c r="F62" i="2"/>
  <c r="I62" i="2" s="1"/>
  <c r="J61" i="2"/>
  <c r="F61" i="2"/>
  <c r="I61" i="2" s="1"/>
  <c r="J60" i="2"/>
  <c r="F60" i="2"/>
  <c r="I60" i="2" s="1"/>
  <c r="J59" i="2"/>
  <c r="F59" i="2"/>
  <c r="I59" i="2" s="1"/>
  <c r="J58" i="2"/>
  <c r="F58" i="2"/>
  <c r="I58" i="2" s="1"/>
  <c r="J57" i="2"/>
  <c r="F57" i="2"/>
  <c r="I57" i="2" s="1"/>
  <c r="J56" i="2"/>
  <c r="F56" i="2"/>
  <c r="I56" i="2" s="1"/>
  <c r="J55" i="2"/>
  <c r="F55" i="2"/>
  <c r="I55" i="2" s="1"/>
  <c r="J54" i="2"/>
  <c r="F54" i="2"/>
  <c r="I54" i="2" s="1"/>
  <c r="J53" i="2"/>
  <c r="F53" i="2"/>
  <c r="I53" i="2" s="1"/>
  <c r="J52" i="2"/>
  <c r="F52" i="2"/>
  <c r="I52" i="2" s="1"/>
  <c r="J51" i="2"/>
  <c r="F51" i="2"/>
  <c r="I51" i="2" s="1"/>
  <c r="J50" i="2"/>
  <c r="F50" i="2"/>
  <c r="I50" i="2" s="1"/>
  <c r="J49" i="2"/>
  <c r="F49" i="2"/>
  <c r="I49" i="2" s="1"/>
  <c r="F48" i="2"/>
  <c r="I48" i="2" s="1"/>
  <c r="J47" i="2"/>
  <c r="F47" i="2"/>
  <c r="I47" i="2" s="1"/>
  <c r="J46" i="2"/>
  <c r="F46" i="2"/>
  <c r="I46" i="2" s="1"/>
  <c r="J45" i="2"/>
  <c r="F45" i="2"/>
  <c r="I45" i="2" s="1"/>
  <c r="J44" i="2"/>
  <c r="F44" i="2"/>
  <c r="I44" i="2" s="1"/>
  <c r="J43" i="2"/>
  <c r="F43" i="2"/>
  <c r="I43" i="2" s="1"/>
  <c r="J42" i="2"/>
  <c r="F25" i="2"/>
  <c r="I25" i="2" s="1"/>
  <c r="J24" i="2"/>
  <c r="F24" i="2"/>
  <c r="I24" i="2" s="1"/>
  <c r="F23" i="2"/>
  <c r="I23" i="2" s="1"/>
  <c r="J22" i="2"/>
  <c r="F22" i="2"/>
  <c r="I22" i="2" s="1"/>
  <c r="F21" i="2"/>
  <c r="I21" i="2" s="1"/>
  <c r="J20" i="2"/>
  <c r="F20" i="2"/>
  <c r="I20" i="2" s="1"/>
  <c r="J19" i="2"/>
  <c r="F19" i="2"/>
  <c r="I19" i="2" s="1"/>
  <c r="J18" i="2"/>
  <c r="F18" i="2"/>
  <c r="I18" i="2" s="1"/>
  <c r="J17" i="2"/>
  <c r="F17" i="2"/>
  <c r="I17" i="2" s="1"/>
  <c r="J16" i="2"/>
  <c r="F16" i="2"/>
  <c r="I16" i="2" s="1"/>
  <c r="J15" i="2"/>
  <c r="F15" i="2"/>
  <c r="I15" i="2" s="1"/>
  <c r="J14" i="2"/>
  <c r="F14" i="2"/>
  <c r="I14" i="2" s="1"/>
  <c r="J13" i="2"/>
  <c r="F3" i="2"/>
  <c r="I3" i="2" s="1"/>
  <c r="J3" i="2"/>
  <c r="F4" i="2"/>
  <c r="I4" i="2" s="1"/>
  <c r="J4" i="2"/>
  <c r="F42" i="2"/>
  <c r="I42" i="2" s="1"/>
  <c r="J41" i="2"/>
  <c r="F41" i="2"/>
  <c r="I41" i="2" s="1"/>
  <c r="J40" i="2"/>
  <c r="F40" i="2"/>
  <c r="I40" i="2" s="1"/>
  <c r="J39" i="2"/>
  <c r="F39" i="2"/>
  <c r="I39" i="2" s="1"/>
  <c r="J38" i="2"/>
  <c r="F38" i="2"/>
  <c r="I38" i="2" s="1"/>
  <c r="J37" i="2"/>
  <c r="F37" i="2"/>
  <c r="I37" i="2" s="1"/>
  <c r="J36" i="2"/>
  <c r="F36" i="2"/>
  <c r="I36" i="2" s="1"/>
  <c r="J35" i="2"/>
  <c r="F35" i="2"/>
  <c r="I35" i="2" s="1"/>
  <c r="J34" i="2"/>
  <c r="F34" i="2"/>
  <c r="I34" i="2" s="1"/>
  <c r="J33" i="2"/>
  <c r="F33" i="2"/>
  <c r="I33" i="2" s="1"/>
  <c r="J32" i="2"/>
  <c r="F32" i="2"/>
  <c r="I32" i="2" s="1"/>
  <c r="J31" i="2"/>
  <c r="F31" i="2"/>
  <c r="I31" i="2" s="1"/>
  <c r="J30" i="2"/>
  <c r="F30" i="2"/>
  <c r="I30" i="2" s="1"/>
  <c r="J29" i="2"/>
  <c r="F29" i="2"/>
  <c r="I29" i="2" s="1"/>
  <c r="J28" i="2"/>
  <c r="F28" i="2"/>
  <c r="I28" i="2" s="1"/>
  <c r="J27" i="2"/>
  <c r="F27" i="2"/>
  <c r="I27" i="2" s="1"/>
  <c r="J26" i="2"/>
  <c r="F26" i="2"/>
  <c r="I26" i="2" s="1"/>
  <c r="J25" i="2"/>
  <c r="J23" i="2"/>
  <c r="J21" i="2"/>
  <c r="F13" i="2"/>
  <c r="I13" i="2" s="1"/>
  <c r="J12" i="2"/>
  <c r="F12" i="2"/>
  <c r="I12" i="2" s="1"/>
  <c r="J11" i="2"/>
  <c r="F11" i="2"/>
  <c r="I11" i="2" s="1"/>
  <c r="J10" i="2"/>
  <c r="F10" i="2"/>
  <c r="I10" i="2" s="1"/>
  <c r="J9" i="2"/>
  <c r="F9" i="2"/>
  <c r="I9" i="2" s="1"/>
  <c r="J8" i="2"/>
  <c r="F8" i="2"/>
  <c r="I8" i="2" s="1"/>
  <c r="J7" i="2"/>
  <c r="F7" i="2"/>
  <c r="I7" i="2" s="1"/>
  <c r="J6" i="2"/>
  <c r="F6" i="2"/>
  <c r="I6" i="2" s="1"/>
  <c r="J5" i="2"/>
  <c r="J48" i="2"/>
  <c r="G3" i="2"/>
  <c r="H3" i="2"/>
  <c r="A4" i="2"/>
  <c r="G4" i="2" l="1"/>
  <c r="H4" i="2"/>
  <c r="A5" i="2"/>
  <c r="G5" i="2" l="1"/>
  <c r="H5" i="2"/>
  <c r="A6" i="2"/>
  <c r="H6" i="2" l="1"/>
  <c r="A7" i="2"/>
  <c r="G7" i="2" l="1"/>
  <c r="H7" i="2"/>
  <c r="A8" i="2"/>
  <c r="G8" i="2" l="1"/>
  <c r="H8" i="2"/>
  <c r="A9" i="2"/>
  <c r="G9" i="2" l="1"/>
  <c r="H9" i="2"/>
  <c r="A10" i="2"/>
  <c r="G10" i="2" l="1"/>
  <c r="H10" i="2"/>
  <c r="A11" i="2"/>
  <c r="G11" i="2" l="1"/>
  <c r="H11" i="2"/>
  <c r="A12" i="2"/>
  <c r="G12" i="2" l="1"/>
  <c r="H12" i="2"/>
  <c r="A13" i="2"/>
  <c r="G13" i="2" l="1"/>
  <c r="H13" i="2"/>
  <c r="A14" i="2"/>
  <c r="G14" i="2" l="1"/>
  <c r="H14" i="2"/>
  <c r="A15" i="2"/>
  <c r="G15" i="2" l="1"/>
  <c r="H15" i="2"/>
  <c r="A16" i="2"/>
  <c r="H16" i="2" l="1"/>
  <c r="G16" i="2"/>
  <c r="A17" i="2"/>
  <c r="G17" i="2" l="1"/>
  <c r="H17" i="2"/>
  <c r="A18" i="2"/>
  <c r="G18" i="2" l="1"/>
  <c r="A19" i="2"/>
  <c r="H18" i="2"/>
  <c r="G19" i="2" l="1"/>
  <c r="H19" i="2"/>
  <c r="A20" i="2"/>
  <c r="H20" i="2" l="1"/>
  <c r="A21" i="2"/>
  <c r="G20" i="2"/>
  <c r="G21" i="2" l="1"/>
  <c r="A22" i="2"/>
  <c r="H21" i="2"/>
  <c r="H22" i="2" l="1"/>
  <c r="G22" i="2"/>
  <c r="A23" i="2"/>
  <c r="G23" i="2" l="1"/>
  <c r="H23" i="2"/>
  <c r="A24" i="2"/>
  <c r="G24" i="2" l="1"/>
  <c r="H24" i="2"/>
  <c r="A25" i="2"/>
  <c r="G25" i="2" l="1"/>
  <c r="A26" i="2"/>
  <c r="H25" i="2"/>
  <c r="G26" i="2" l="1"/>
  <c r="H26" i="2"/>
  <c r="A27" i="2"/>
  <c r="G27" i="2" l="1"/>
  <c r="H27" i="2"/>
  <c r="A28" i="2"/>
  <c r="G28" i="2" l="1"/>
  <c r="H28" i="2"/>
  <c r="A29" i="2"/>
  <c r="G29" i="2" l="1"/>
  <c r="H29" i="2"/>
  <c r="A30" i="2"/>
  <c r="G30" i="2" l="1"/>
  <c r="H30" i="2"/>
  <c r="A31" i="2"/>
  <c r="G31" i="2" l="1"/>
  <c r="H31" i="2"/>
  <c r="A32" i="2"/>
  <c r="G32" i="2" l="1"/>
  <c r="H32" i="2"/>
  <c r="A33" i="2"/>
  <c r="G33" i="2" l="1"/>
  <c r="H33" i="2"/>
  <c r="A34" i="2"/>
  <c r="G34" i="2" l="1"/>
  <c r="H34" i="2"/>
  <c r="A35" i="2"/>
  <c r="G35" i="2" l="1"/>
  <c r="H35" i="2"/>
  <c r="A36" i="2"/>
  <c r="G36" i="2" l="1"/>
  <c r="H36" i="2"/>
  <c r="A37" i="2"/>
  <c r="G37" i="2" l="1"/>
  <c r="H37" i="2"/>
  <c r="A38" i="2"/>
  <c r="G38" i="2" l="1"/>
  <c r="H38" i="2"/>
  <c r="A39" i="2"/>
  <c r="G39" i="2" l="1"/>
  <c r="H39" i="2"/>
  <c r="A40" i="2"/>
  <c r="G40" i="2" l="1"/>
  <c r="H40" i="2"/>
  <c r="A41" i="2"/>
  <c r="G41" i="2" l="1"/>
  <c r="H41" i="2"/>
  <c r="A42" i="2"/>
  <c r="G42" i="2" l="1"/>
  <c r="H42" i="2"/>
  <c r="A43" i="2"/>
  <c r="G43" i="2" l="1"/>
  <c r="H43" i="2"/>
  <c r="A44" i="2"/>
  <c r="G44" i="2" l="1"/>
  <c r="H44" i="2"/>
  <c r="A45" i="2"/>
  <c r="G45" i="2" l="1"/>
  <c r="H45" i="2"/>
  <c r="A46" i="2"/>
  <c r="G46" i="2" l="1"/>
  <c r="H46" i="2"/>
  <c r="A47" i="2"/>
  <c r="G47" i="2" l="1"/>
  <c r="H47" i="2"/>
  <c r="A48" i="2"/>
  <c r="G48" i="2" l="1"/>
  <c r="H48" i="2"/>
  <c r="A49" i="2"/>
  <c r="G49" i="2" l="1"/>
  <c r="H49" i="2"/>
  <c r="A50" i="2"/>
  <c r="G50" i="2" l="1"/>
  <c r="H50" i="2"/>
  <c r="A51" i="2"/>
  <c r="G51" i="2" l="1"/>
  <c r="H51" i="2"/>
  <c r="A52" i="2"/>
  <c r="G52" i="2" l="1"/>
  <c r="H52" i="2"/>
  <c r="A53" i="2"/>
  <c r="G53" i="2" l="1"/>
  <c r="H53" i="2"/>
  <c r="A54" i="2"/>
  <c r="G54" i="2" l="1"/>
  <c r="H54" i="2"/>
  <c r="A55" i="2"/>
  <c r="G55" i="2" l="1"/>
  <c r="H55" i="2"/>
  <c r="A56" i="2"/>
  <c r="G56" i="2" l="1"/>
  <c r="H56" i="2"/>
  <c r="A57" i="2"/>
  <c r="G57" i="2" l="1"/>
  <c r="H57" i="2"/>
  <c r="A58" i="2"/>
  <c r="G58" i="2" l="1"/>
  <c r="H58" i="2"/>
  <c r="A59" i="2"/>
  <c r="G59" i="2" l="1"/>
  <c r="H59" i="2"/>
  <c r="A60" i="2"/>
  <c r="G60" i="2" l="1"/>
  <c r="H60" i="2"/>
  <c r="A61" i="2"/>
  <c r="G61" i="2" l="1"/>
  <c r="H61" i="2"/>
  <c r="A62" i="2"/>
  <c r="G62" i="2" l="1"/>
  <c r="H62" i="2"/>
  <c r="A63" i="2"/>
  <c r="G63" i="2" l="1"/>
  <c r="H63" i="2"/>
  <c r="A64" i="2"/>
  <c r="G64" i="2" l="1"/>
  <c r="H64" i="2"/>
  <c r="A65" i="2"/>
  <c r="G65" i="2" l="1"/>
  <c r="H65" i="2"/>
  <c r="A66" i="2"/>
  <c r="G66" i="2" l="1"/>
  <c r="H66" i="2"/>
  <c r="A67" i="2"/>
  <c r="G67" i="2" l="1"/>
  <c r="H67" i="2"/>
  <c r="A68" i="2"/>
  <c r="G68" i="2" l="1"/>
  <c r="H68" i="2"/>
  <c r="A69" i="2"/>
  <c r="G69" i="2" l="1"/>
  <c r="H69" i="2"/>
  <c r="A70" i="2"/>
  <c r="G70" i="2" l="1"/>
  <c r="H70" i="2"/>
  <c r="A71" i="2"/>
  <c r="G71" i="2" l="1"/>
  <c r="H71" i="2"/>
  <c r="A72" i="2"/>
  <c r="G72" i="2" l="1"/>
  <c r="H72" i="2"/>
  <c r="A73" i="2"/>
  <c r="G73" i="2" l="1"/>
  <c r="H73" i="2"/>
  <c r="A74" i="2"/>
  <c r="G74" i="2" l="1"/>
  <c r="H74" i="2"/>
  <c r="A75" i="2"/>
  <c r="G75" i="2" l="1"/>
  <c r="H75" i="2"/>
  <c r="A76" i="2"/>
  <c r="G76" i="2" l="1"/>
  <c r="H76" i="2"/>
  <c r="A77" i="2"/>
  <c r="G77" i="2" l="1"/>
  <c r="H77" i="2"/>
  <c r="A78" i="2"/>
  <c r="G78" i="2" l="1"/>
  <c r="H78" i="2"/>
  <c r="A79" i="2"/>
  <c r="G79" i="2" l="1"/>
  <c r="H79" i="2"/>
  <c r="A80" i="2"/>
  <c r="G80" i="2" l="1"/>
  <c r="H80" i="2"/>
  <c r="A81" i="2"/>
  <c r="G81" i="2" l="1"/>
  <c r="H81" i="2"/>
  <c r="A82" i="2"/>
  <c r="G82" i="2" l="1"/>
  <c r="H82" i="2"/>
  <c r="A83" i="2"/>
  <c r="G83" i="2" l="1"/>
  <c r="H83" i="2"/>
  <c r="A84" i="2"/>
  <c r="G84" i="2" l="1"/>
  <c r="H84" i="2"/>
  <c r="A85" i="2"/>
  <c r="G85" i="2" l="1"/>
  <c r="H85" i="2"/>
  <c r="A86" i="2"/>
  <c r="G86" i="2" l="1"/>
  <c r="H86" i="2"/>
  <c r="A87" i="2"/>
  <c r="G87" i="2" l="1"/>
  <c r="H87" i="2"/>
  <c r="A88" i="2"/>
  <c r="G88" i="2" l="1"/>
  <c r="H88" i="2"/>
  <c r="A89" i="2"/>
  <c r="G89" i="2" l="1"/>
  <c r="H89" i="2"/>
  <c r="A90" i="2"/>
  <c r="G90" i="2" l="1"/>
  <c r="H90" i="2"/>
  <c r="A91" i="2"/>
  <c r="G91" i="2" l="1"/>
  <c r="H91" i="2"/>
  <c r="A92" i="2"/>
  <c r="G92" i="2" l="1"/>
  <c r="H92" i="2"/>
  <c r="A93" i="2"/>
  <c r="G93" i="2" l="1"/>
  <c r="H93" i="2"/>
  <c r="A94" i="2"/>
  <c r="G94" i="2" l="1"/>
  <c r="H94" i="2"/>
  <c r="A95" i="2"/>
  <c r="G95" i="2" l="1"/>
  <c r="H95" i="2"/>
  <c r="A96" i="2"/>
  <c r="G96" i="2" l="1"/>
  <c r="H96" i="2"/>
  <c r="A97" i="2"/>
  <c r="G97" i="2" l="1"/>
  <c r="H97" i="2"/>
  <c r="A98" i="2"/>
  <c r="G98" i="2" l="1"/>
  <c r="H98" i="2"/>
  <c r="A99" i="2"/>
  <c r="G99" i="2" l="1"/>
  <c r="H99" i="2"/>
  <c r="A100" i="2"/>
  <c r="A101" i="2" l="1"/>
  <c r="G100" i="2"/>
  <c r="H100" i="2"/>
  <c r="G101" i="2" l="1"/>
  <c r="H101" i="2"/>
  <c r="A102" i="2"/>
  <c r="G102" i="2" l="1"/>
  <c r="H102" i="2"/>
  <c r="A103" i="2"/>
  <c r="H103" i="2" l="1"/>
  <c r="A104" i="2"/>
  <c r="G103" i="2"/>
  <c r="G104" i="2" l="1"/>
  <c r="A105" i="2"/>
  <c r="H104" i="2"/>
  <c r="A106" i="2" l="1"/>
  <c r="G105" i="2"/>
  <c r="H105" i="2"/>
  <c r="H106" i="2" l="1"/>
  <c r="G106" i="2"/>
  <c r="A107" i="2"/>
  <c r="G107" i="2" l="1"/>
  <c r="H107" i="2"/>
  <c r="A108" i="2"/>
  <c r="G108" i="2" l="1"/>
  <c r="H108" i="2"/>
  <c r="A109" i="2"/>
  <c r="G109" i="2" l="1"/>
  <c r="H109" i="2"/>
  <c r="A110" i="2"/>
  <c r="G110" i="2" l="1"/>
  <c r="H110" i="2"/>
  <c r="A111" i="2"/>
  <c r="G111" i="2" l="1"/>
  <c r="H111" i="2"/>
  <c r="A112" i="2"/>
  <c r="G112" i="2" l="1"/>
  <c r="H112" i="2"/>
  <c r="A113" i="2"/>
  <c r="G113" i="2" l="1"/>
  <c r="H113" i="2"/>
  <c r="A114" i="2"/>
  <c r="G114" i="2" l="1"/>
  <c r="H114" i="2"/>
  <c r="A115" i="2"/>
  <c r="G115" i="2" l="1"/>
  <c r="H115" i="2"/>
  <c r="A116" i="2"/>
  <c r="G116" i="2" l="1"/>
  <c r="H116" i="2"/>
  <c r="A117" i="2"/>
  <c r="G117" i="2" l="1"/>
  <c r="H117" i="2"/>
  <c r="A118" i="2"/>
  <c r="G118" i="2" l="1"/>
  <c r="H118" i="2"/>
  <c r="A119" i="2"/>
  <c r="G119" i="2" l="1"/>
  <c r="H119" i="2"/>
  <c r="A120" i="2"/>
  <c r="G120" i="2" l="1"/>
  <c r="H120" i="2"/>
  <c r="A121" i="2"/>
  <c r="G121" i="2" l="1"/>
  <c r="H121" i="2"/>
  <c r="A122" i="2"/>
  <c r="G122" i="2" l="1"/>
  <c r="H122" i="2"/>
  <c r="A123" i="2"/>
  <c r="G123" i="2" l="1"/>
  <c r="H123" i="2"/>
  <c r="A124" i="2"/>
  <c r="G124" i="2" l="1"/>
  <c r="H124" i="2"/>
  <c r="A125" i="2"/>
  <c r="G125" i="2" l="1"/>
  <c r="H125" i="2"/>
</calcChain>
</file>

<file path=xl/sharedStrings.xml><?xml version="1.0" encoding="utf-8"?>
<sst xmlns="http://schemas.openxmlformats.org/spreadsheetml/2006/main" count="46" uniqueCount="23">
  <si>
    <t xml:space="preserve"> L</t>
  </si>
  <si>
    <t>err_L</t>
  </si>
  <si>
    <t>sigma_L</t>
  </si>
  <si>
    <t>D</t>
  </si>
  <si>
    <t>err_D</t>
  </si>
  <si>
    <t>sigma_D</t>
  </si>
  <si>
    <t>y_0</t>
  </si>
  <si>
    <t>err_y0</t>
  </si>
  <si>
    <t>sigma_y0</t>
  </si>
  <si>
    <t>sigma_y</t>
  </si>
  <si>
    <t>x_0</t>
  </si>
  <si>
    <t>err_x0</t>
  </si>
  <si>
    <t>sigma_x0</t>
  </si>
  <si>
    <t>sigma_x</t>
  </si>
  <si>
    <t>x</t>
  </si>
  <si>
    <t>y_min</t>
  </si>
  <si>
    <t>y_max</t>
  </si>
  <si>
    <t>y_max2</t>
  </si>
  <si>
    <t>y</t>
  </si>
  <si>
    <t>p</t>
  </si>
  <si>
    <t>q</t>
  </si>
  <si>
    <t>sigma_p</t>
  </si>
  <si>
    <t>sigma_q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</si>
</sst>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'Dati (2)'!$H$1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'Dati (2)'!$G$2:$G$130</c:f>
              <c:numCache>
                <c:formatCode>#,##0.00</c:formatCode>
                <c:ptCount val="129"/>
                <c:pt idx="0">
                  <c:v>70.800000000000011</c:v>
                </c:pt>
                <c:pt idx="1">
                  <c:v>71.800000000000011</c:v>
                </c:pt>
                <c:pt idx="2">
                  <c:v>72.800000000000011</c:v>
                </c:pt>
                <c:pt idx="3">
                  <c:v>73.800000000000011</c:v>
                </c:pt>
                <c:pt idx="4">
                  <c:v>74.800000000000011</c:v>
                </c:pt>
                <c:pt idx="5">
                  <c:v>75.800000000000011</c:v>
                </c:pt>
                <c:pt idx="6">
                  <c:v>76.800000000000011</c:v>
                </c:pt>
                <c:pt idx="7">
                  <c:v>77.800000000000011</c:v>
                </c:pt>
                <c:pt idx="8">
                  <c:v>78.800000000000011</c:v>
                </c:pt>
                <c:pt idx="9">
                  <c:v>79.800000000000011</c:v>
                </c:pt>
                <c:pt idx="10">
                  <c:v>80.800000000000011</c:v>
                </c:pt>
                <c:pt idx="11">
                  <c:v>81.800000000000011</c:v>
                </c:pt>
                <c:pt idx="12">
                  <c:v>82.800000000000011</c:v>
                </c:pt>
                <c:pt idx="13">
                  <c:v>83.800000000000011</c:v>
                </c:pt>
                <c:pt idx="14">
                  <c:v>84.800000000000011</c:v>
                </c:pt>
                <c:pt idx="15">
                  <c:v>85.800000000000011</c:v>
                </c:pt>
                <c:pt idx="16">
                  <c:v>86.800000000000011</c:v>
                </c:pt>
                <c:pt idx="17">
                  <c:v>87.800000000000011</c:v>
                </c:pt>
                <c:pt idx="18">
                  <c:v>88.800000000000011</c:v>
                </c:pt>
                <c:pt idx="19">
                  <c:v>89.800000000000011</c:v>
                </c:pt>
                <c:pt idx="20">
                  <c:v>90.800000000000011</c:v>
                </c:pt>
                <c:pt idx="21">
                  <c:v>91.800000000000011</c:v>
                </c:pt>
                <c:pt idx="22">
                  <c:v>92.800000000000011</c:v>
                </c:pt>
                <c:pt idx="23">
                  <c:v>93.800000000000011</c:v>
                </c:pt>
                <c:pt idx="24">
                  <c:v>94.800000000000011</c:v>
                </c:pt>
                <c:pt idx="25">
                  <c:v>95.800000000000011</c:v>
                </c:pt>
                <c:pt idx="26">
                  <c:v>96.800000000000011</c:v>
                </c:pt>
                <c:pt idx="27">
                  <c:v>97.800000000000011</c:v>
                </c:pt>
                <c:pt idx="28">
                  <c:v>98.800000000000011</c:v>
                </c:pt>
                <c:pt idx="29">
                  <c:v>99.800000000000011</c:v>
                </c:pt>
                <c:pt idx="30">
                  <c:v>100.80000000000001</c:v>
                </c:pt>
                <c:pt idx="31">
                  <c:v>101.80000000000001</c:v>
                </c:pt>
                <c:pt idx="32">
                  <c:v>102.80000000000001</c:v>
                </c:pt>
                <c:pt idx="33">
                  <c:v>103.80000000000001</c:v>
                </c:pt>
                <c:pt idx="34">
                  <c:v>104.80000000000001</c:v>
                </c:pt>
                <c:pt idx="35">
                  <c:v>105.80000000000001</c:v>
                </c:pt>
                <c:pt idx="36">
                  <c:v>106.80000000000001</c:v>
                </c:pt>
                <c:pt idx="37">
                  <c:v>107.80000000000001</c:v>
                </c:pt>
                <c:pt idx="38">
                  <c:v>108.80000000000001</c:v>
                </c:pt>
                <c:pt idx="39">
                  <c:v>109.80000000000001</c:v>
                </c:pt>
                <c:pt idx="40">
                  <c:v>110.80000000000001</c:v>
                </c:pt>
                <c:pt idx="41">
                  <c:v>111.80000000000001</c:v>
                </c:pt>
                <c:pt idx="42">
                  <c:v>112.80000000000001</c:v>
                </c:pt>
                <c:pt idx="43">
                  <c:v>113.80000000000001</c:v>
                </c:pt>
                <c:pt idx="44">
                  <c:v>114.80000000000001</c:v>
                </c:pt>
                <c:pt idx="45">
                  <c:v>115.80000000000001</c:v>
                </c:pt>
                <c:pt idx="46">
                  <c:v>117.80000000000001</c:v>
                </c:pt>
                <c:pt idx="47">
                  <c:v>119.80000000000001</c:v>
                </c:pt>
                <c:pt idx="48">
                  <c:v>121.80000000000001</c:v>
                </c:pt>
                <c:pt idx="49">
                  <c:v>123.80000000000001</c:v>
                </c:pt>
                <c:pt idx="50">
                  <c:v>125.80000000000001</c:v>
                </c:pt>
                <c:pt idx="51">
                  <c:v>127.80000000000001</c:v>
                </c:pt>
                <c:pt idx="52">
                  <c:v>129.80000000000001</c:v>
                </c:pt>
                <c:pt idx="53">
                  <c:v>131.80000000000001</c:v>
                </c:pt>
                <c:pt idx="54">
                  <c:v>133.80000000000001</c:v>
                </c:pt>
                <c:pt idx="55">
                  <c:v>135.80000000000001</c:v>
                </c:pt>
                <c:pt idx="56">
                  <c:v>137.80000000000001</c:v>
                </c:pt>
                <c:pt idx="57">
                  <c:v>139.80000000000001</c:v>
                </c:pt>
                <c:pt idx="58">
                  <c:v>141.80000000000001</c:v>
                </c:pt>
                <c:pt idx="59">
                  <c:v>143.80000000000001</c:v>
                </c:pt>
                <c:pt idx="60">
                  <c:v>145.80000000000001</c:v>
                </c:pt>
                <c:pt idx="61">
                  <c:v>147.80000000000001</c:v>
                </c:pt>
                <c:pt idx="62">
                  <c:v>149.80000000000001</c:v>
                </c:pt>
                <c:pt idx="63">
                  <c:v>151.80000000000001</c:v>
                </c:pt>
                <c:pt idx="64">
                  <c:v>154.80000000000001</c:v>
                </c:pt>
                <c:pt idx="65">
                  <c:v>157.80000000000001</c:v>
                </c:pt>
                <c:pt idx="66">
                  <c:v>160.80000000000001</c:v>
                </c:pt>
                <c:pt idx="67">
                  <c:v>163.80000000000001</c:v>
                </c:pt>
                <c:pt idx="68">
                  <c:v>166.8</c:v>
                </c:pt>
                <c:pt idx="69">
                  <c:v>169.8</c:v>
                </c:pt>
                <c:pt idx="70">
                  <c:v>172.8</c:v>
                </c:pt>
                <c:pt idx="71">
                  <c:v>175.8</c:v>
                </c:pt>
                <c:pt idx="72">
                  <c:v>179.8</c:v>
                </c:pt>
                <c:pt idx="73">
                  <c:v>183.8</c:v>
                </c:pt>
                <c:pt idx="74">
                  <c:v>187.8</c:v>
                </c:pt>
                <c:pt idx="75">
                  <c:v>191.8</c:v>
                </c:pt>
                <c:pt idx="76">
                  <c:v>195.8</c:v>
                </c:pt>
                <c:pt idx="77">
                  <c:v>199.8</c:v>
                </c:pt>
                <c:pt idx="78">
                  <c:v>203.8</c:v>
                </c:pt>
                <c:pt idx="79">
                  <c:v>207.8</c:v>
                </c:pt>
                <c:pt idx="80">
                  <c:v>212.8</c:v>
                </c:pt>
                <c:pt idx="81">
                  <c:v>217.8</c:v>
                </c:pt>
                <c:pt idx="82">
                  <c:v>222.8</c:v>
                </c:pt>
                <c:pt idx="83">
                  <c:v>227.8</c:v>
                </c:pt>
                <c:pt idx="84">
                  <c:v>232.8</c:v>
                </c:pt>
                <c:pt idx="85">
                  <c:v>237.8</c:v>
                </c:pt>
                <c:pt idx="86">
                  <c:v>242.8</c:v>
                </c:pt>
                <c:pt idx="87">
                  <c:v>247.8</c:v>
                </c:pt>
                <c:pt idx="88">
                  <c:v>254.8</c:v>
                </c:pt>
                <c:pt idx="89">
                  <c:v>261.8</c:v>
                </c:pt>
                <c:pt idx="90">
                  <c:v>268.8</c:v>
                </c:pt>
                <c:pt idx="91">
                  <c:v>275.8</c:v>
                </c:pt>
                <c:pt idx="92">
                  <c:v>285.8</c:v>
                </c:pt>
                <c:pt idx="93">
                  <c:v>295.8</c:v>
                </c:pt>
                <c:pt idx="94">
                  <c:v>305.8</c:v>
                </c:pt>
                <c:pt idx="95">
                  <c:v>315.8</c:v>
                </c:pt>
                <c:pt idx="96">
                  <c:v>325.8</c:v>
                </c:pt>
                <c:pt idx="97">
                  <c:v>335.8</c:v>
                </c:pt>
                <c:pt idx="98">
                  <c:v>345.8</c:v>
                </c:pt>
                <c:pt idx="99">
                  <c:v>355.8</c:v>
                </c:pt>
                <c:pt idx="100">
                  <c:v>365.8</c:v>
                </c:pt>
                <c:pt idx="101">
                  <c:v>375.8</c:v>
                </c:pt>
                <c:pt idx="102">
                  <c:v>395.8</c:v>
                </c:pt>
                <c:pt idx="103">
                  <c:v>415.8</c:v>
                </c:pt>
                <c:pt idx="104">
                  <c:v>435.8</c:v>
                </c:pt>
                <c:pt idx="105">
                  <c:v>455.8</c:v>
                </c:pt>
                <c:pt idx="106">
                  <c:v>475.8</c:v>
                </c:pt>
                <c:pt idx="107">
                  <c:v>495.8</c:v>
                </c:pt>
                <c:pt idx="108">
                  <c:v>515.79999999999995</c:v>
                </c:pt>
                <c:pt idx="109">
                  <c:v>535.79999999999995</c:v>
                </c:pt>
                <c:pt idx="110">
                  <c:v>555.79999999999995</c:v>
                </c:pt>
                <c:pt idx="111">
                  <c:v>575.79999999999995</c:v>
                </c:pt>
                <c:pt idx="112">
                  <c:v>625.79999999999995</c:v>
                </c:pt>
                <c:pt idx="113">
                  <c:v>675.8</c:v>
                </c:pt>
                <c:pt idx="114">
                  <c:v>725.8</c:v>
                </c:pt>
                <c:pt idx="115">
                  <c:v>775.8</c:v>
                </c:pt>
                <c:pt idx="116">
                  <c:v>825.8</c:v>
                </c:pt>
                <c:pt idx="117">
                  <c:v>875.8</c:v>
                </c:pt>
                <c:pt idx="118">
                  <c:v>975.8</c:v>
                </c:pt>
                <c:pt idx="119">
                  <c:v>1075.8</c:v>
                </c:pt>
                <c:pt idx="120">
                  <c:v>1175.8</c:v>
                </c:pt>
                <c:pt idx="121">
                  <c:v>1275.8</c:v>
                </c:pt>
                <c:pt idx="122">
                  <c:v>1375.8</c:v>
                </c:pt>
                <c:pt idx="123">
                  <c:v>1475.8</c:v>
                </c:pt>
              </c:numCache>
            </c:numRef>
          </c:xVal>
          <c:yVal>
            <c:numRef>
              <c:f>'Dati (2)'!$H$2:$H$130</c:f>
              <c:numCache>
                <c:formatCode>#,##0.00</c:formatCode>
                <c:ptCount val="129"/>
                <c:pt idx="0">
                  <c:v>1513</c:v>
                </c:pt>
                <c:pt idx="1">
                  <c:v>1512</c:v>
                </c:pt>
                <c:pt idx="2">
                  <c:v>1448</c:v>
                </c:pt>
                <c:pt idx="3">
                  <c:v>1428</c:v>
                </c:pt>
                <c:pt idx="4">
                  <c:v>1351</c:v>
                </c:pt>
                <c:pt idx="5">
                  <c:v>1316</c:v>
                </c:pt>
                <c:pt idx="6">
                  <c:v>1255.5</c:v>
                </c:pt>
                <c:pt idx="7">
                  <c:v>1207</c:v>
                </c:pt>
                <c:pt idx="8">
                  <c:v>1190</c:v>
                </c:pt>
                <c:pt idx="9">
                  <c:v>1144.5</c:v>
                </c:pt>
                <c:pt idx="10">
                  <c:v>1109.5</c:v>
                </c:pt>
                <c:pt idx="11">
                  <c:v>1088</c:v>
                </c:pt>
                <c:pt idx="12">
                  <c:v>1059.5</c:v>
                </c:pt>
                <c:pt idx="13">
                  <c:v>1035.5</c:v>
                </c:pt>
                <c:pt idx="14">
                  <c:v>1010.5</c:v>
                </c:pt>
                <c:pt idx="15">
                  <c:v>985</c:v>
                </c:pt>
                <c:pt idx="16">
                  <c:v>964.5</c:v>
                </c:pt>
                <c:pt idx="17">
                  <c:v>942</c:v>
                </c:pt>
                <c:pt idx="18">
                  <c:v>928.5</c:v>
                </c:pt>
                <c:pt idx="19">
                  <c:v>899</c:v>
                </c:pt>
                <c:pt idx="20">
                  <c:v>891.5</c:v>
                </c:pt>
                <c:pt idx="21">
                  <c:v>866</c:v>
                </c:pt>
                <c:pt idx="22">
                  <c:v>849.5</c:v>
                </c:pt>
                <c:pt idx="23">
                  <c:v>827.5</c:v>
                </c:pt>
                <c:pt idx="24">
                  <c:v>818</c:v>
                </c:pt>
                <c:pt idx="25">
                  <c:v>806</c:v>
                </c:pt>
                <c:pt idx="26">
                  <c:v>786</c:v>
                </c:pt>
                <c:pt idx="27">
                  <c:v>771</c:v>
                </c:pt>
                <c:pt idx="28">
                  <c:v>755.5</c:v>
                </c:pt>
                <c:pt idx="29">
                  <c:v>741</c:v>
                </c:pt>
                <c:pt idx="30">
                  <c:v>721.5</c:v>
                </c:pt>
                <c:pt idx="31">
                  <c:v>716.5</c:v>
                </c:pt>
                <c:pt idx="32">
                  <c:v>705</c:v>
                </c:pt>
                <c:pt idx="33">
                  <c:v>693</c:v>
                </c:pt>
                <c:pt idx="34">
                  <c:v>682.5</c:v>
                </c:pt>
                <c:pt idx="35">
                  <c:v>669.5</c:v>
                </c:pt>
                <c:pt idx="36">
                  <c:v>657.5</c:v>
                </c:pt>
                <c:pt idx="37">
                  <c:v>642</c:v>
                </c:pt>
                <c:pt idx="38">
                  <c:v>638.5</c:v>
                </c:pt>
                <c:pt idx="39">
                  <c:v>627</c:v>
                </c:pt>
                <c:pt idx="40">
                  <c:v>614</c:v>
                </c:pt>
                <c:pt idx="41">
                  <c:v>607</c:v>
                </c:pt>
                <c:pt idx="42">
                  <c:v>593.5</c:v>
                </c:pt>
                <c:pt idx="43">
                  <c:v>587.5</c:v>
                </c:pt>
                <c:pt idx="44">
                  <c:v>580.5</c:v>
                </c:pt>
                <c:pt idx="45">
                  <c:v>568</c:v>
                </c:pt>
                <c:pt idx="46">
                  <c:v>554</c:v>
                </c:pt>
                <c:pt idx="47">
                  <c:v>531.5</c:v>
                </c:pt>
                <c:pt idx="48">
                  <c:v>521</c:v>
                </c:pt>
                <c:pt idx="49">
                  <c:v>512.5</c:v>
                </c:pt>
                <c:pt idx="50">
                  <c:v>493</c:v>
                </c:pt>
                <c:pt idx="51">
                  <c:v>480.5</c:v>
                </c:pt>
                <c:pt idx="52">
                  <c:v>466.5</c:v>
                </c:pt>
                <c:pt idx="53">
                  <c:v>457.5</c:v>
                </c:pt>
                <c:pt idx="54">
                  <c:v>445</c:v>
                </c:pt>
                <c:pt idx="55">
                  <c:v>428</c:v>
                </c:pt>
                <c:pt idx="56">
                  <c:v>416.5</c:v>
                </c:pt>
                <c:pt idx="57">
                  <c:v>412.5</c:v>
                </c:pt>
                <c:pt idx="58">
                  <c:v>400.5</c:v>
                </c:pt>
                <c:pt idx="59">
                  <c:v>396</c:v>
                </c:pt>
                <c:pt idx="60">
                  <c:v>386</c:v>
                </c:pt>
                <c:pt idx="61">
                  <c:v>381</c:v>
                </c:pt>
                <c:pt idx="62">
                  <c:v>371</c:v>
                </c:pt>
                <c:pt idx="63">
                  <c:v>363</c:v>
                </c:pt>
                <c:pt idx="64">
                  <c:v>357</c:v>
                </c:pt>
                <c:pt idx="65">
                  <c:v>342</c:v>
                </c:pt>
                <c:pt idx="66">
                  <c:v>336.5</c:v>
                </c:pt>
                <c:pt idx="67">
                  <c:v>335</c:v>
                </c:pt>
                <c:pt idx="68">
                  <c:v>318</c:v>
                </c:pt>
                <c:pt idx="69">
                  <c:v>311</c:v>
                </c:pt>
                <c:pt idx="70">
                  <c:v>307</c:v>
                </c:pt>
                <c:pt idx="71">
                  <c:v>300</c:v>
                </c:pt>
                <c:pt idx="72">
                  <c:v>289.5</c:v>
                </c:pt>
                <c:pt idx="73">
                  <c:v>285</c:v>
                </c:pt>
                <c:pt idx="74">
                  <c:v>274</c:v>
                </c:pt>
                <c:pt idx="75">
                  <c:v>264.5</c:v>
                </c:pt>
                <c:pt idx="76">
                  <c:v>261</c:v>
                </c:pt>
                <c:pt idx="77">
                  <c:v>251.5</c:v>
                </c:pt>
                <c:pt idx="78">
                  <c:v>246</c:v>
                </c:pt>
                <c:pt idx="79">
                  <c:v>239.5</c:v>
                </c:pt>
                <c:pt idx="80">
                  <c:v>237.5</c:v>
                </c:pt>
                <c:pt idx="81">
                  <c:v>233</c:v>
                </c:pt>
                <c:pt idx="82">
                  <c:v>227</c:v>
                </c:pt>
                <c:pt idx="83">
                  <c:v>221.5</c:v>
                </c:pt>
                <c:pt idx="84">
                  <c:v>216</c:v>
                </c:pt>
                <c:pt idx="85">
                  <c:v>211</c:v>
                </c:pt>
                <c:pt idx="86">
                  <c:v>206</c:v>
                </c:pt>
                <c:pt idx="87">
                  <c:v>201</c:v>
                </c:pt>
                <c:pt idx="88">
                  <c:v>194</c:v>
                </c:pt>
                <c:pt idx="89">
                  <c:v>188.5</c:v>
                </c:pt>
                <c:pt idx="90">
                  <c:v>186</c:v>
                </c:pt>
                <c:pt idx="91">
                  <c:v>177.5</c:v>
                </c:pt>
                <c:pt idx="92">
                  <c:v>173</c:v>
                </c:pt>
                <c:pt idx="93">
                  <c:v>166</c:v>
                </c:pt>
                <c:pt idx="94">
                  <c:v>159</c:v>
                </c:pt>
                <c:pt idx="95">
                  <c:v>152</c:v>
                </c:pt>
                <c:pt idx="96">
                  <c:v>141.5</c:v>
                </c:pt>
                <c:pt idx="97">
                  <c:v>147.5</c:v>
                </c:pt>
                <c:pt idx="98">
                  <c:v>139.5</c:v>
                </c:pt>
                <c:pt idx="99">
                  <c:v>137</c:v>
                </c:pt>
                <c:pt idx="100">
                  <c:v>132</c:v>
                </c:pt>
                <c:pt idx="101">
                  <c:v>127.5</c:v>
                </c:pt>
                <c:pt idx="102">
                  <c:v>119.5</c:v>
                </c:pt>
                <c:pt idx="103">
                  <c:v>117.5</c:v>
                </c:pt>
                <c:pt idx="104">
                  <c:v>110.5</c:v>
                </c:pt>
                <c:pt idx="105">
                  <c:v>105</c:v>
                </c:pt>
                <c:pt idx="106">
                  <c:v>101.5</c:v>
                </c:pt>
                <c:pt idx="107">
                  <c:v>97.5</c:v>
                </c:pt>
                <c:pt idx="108">
                  <c:v>94</c:v>
                </c:pt>
                <c:pt idx="109">
                  <c:v>90</c:v>
                </c:pt>
                <c:pt idx="110">
                  <c:v>86.5</c:v>
                </c:pt>
                <c:pt idx="111">
                  <c:v>83</c:v>
                </c:pt>
                <c:pt idx="112">
                  <c:v>76.5</c:v>
                </c:pt>
                <c:pt idx="113">
                  <c:v>71</c:v>
                </c:pt>
                <c:pt idx="114">
                  <c:v>67.5</c:v>
                </c:pt>
                <c:pt idx="115">
                  <c:v>61</c:v>
                </c:pt>
                <c:pt idx="116">
                  <c:v>58</c:v>
                </c:pt>
                <c:pt idx="117">
                  <c:v>56</c:v>
                </c:pt>
                <c:pt idx="118">
                  <c:v>51</c:v>
                </c:pt>
                <c:pt idx="119">
                  <c:v>43</c:v>
                </c:pt>
                <c:pt idx="120">
                  <c:v>42</c:v>
                </c:pt>
                <c:pt idx="121">
                  <c:v>40</c:v>
                </c:pt>
                <c:pt idx="122">
                  <c:v>36</c:v>
                </c:pt>
                <c:pt idx="123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1-457C-B8C4-1B452FC84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010767"/>
        <c:axId val="1222290255"/>
      </c:scatterChart>
      <c:valAx>
        <c:axId val="122601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90255"/>
        <c:crosses val="autoZero"/>
        <c:crossBetween val="midCat"/>
      </c:valAx>
      <c:valAx>
        <c:axId val="12222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1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Dati!$G$1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Dati!$F$2:$F$130</c:f>
              <c:numCache>
                <c:formatCode>#,##0.00</c:formatCode>
                <c:ptCount val="129"/>
                <c:pt idx="0">
                  <c:v>232.5</c:v>
                </c:pt>
                <c:pt idx="1">
                  <c:v>233.5</c:v>
                </c:pt>
                <c:pt idx="2">
                  <c:v>234.5</c:v>
                </c:pt>
                <c:pt idx="3">
                  <c:v>235.5</c:v>
                </c:pt>
                <c:pt idx="4">
                  <c:v>236.5</c:v>
                </c:pt>
                <c:pt idx="5">
                  <c:v>237.5</c:v>
                </c:pt>
                <c:pt idx="6">
                  <c:v>238.5</c:v>
                </c:pt>
                <c:pt idx="7">
                  <c:v>239.5</c:v>
                </c:pt>
                <c:pt idx="8">
                  <c:v>240.5</c:v>
                </c:pt>
                <c:pt idx="9">
                  <c:v>241.5</c:v>
                </c:pt>
                <c:pt idx="10">
                  <c:v>242.5</c:v>
                </c:pt>
                <c:pt idx="11">
                  <c:v>243.5</c:v>
                </c:pt>
                <c:pt idx="12">
                  <c:v>244.5</c:v>
                </c:pt>
                <c:pt idx="13">
                  <c:v>245.5</c:v>
                </c:pt>
                <c:pt idx="14">
                  <c:v>246.5</c:v>
                </c:pt>
                <c:pt idx="15">
                  <c:v>247.5</c:v>
                </c:pt>
                <c:pt idx="16">
                  <c:v>248.5</c:v>
                </c:pt>
                <c:pt idx="17">
                  <c:v>249.5</c:v>
                </c:pt>
                <c:pt idx="18">
                  <c:v>250.5</c:v>
                </c:pt>
                <c:pt idx="19">
                  <c:v>251.5</c:v>
                </c:pt>
                <c:pt idx="20">
                  <c:v>252.5</c:v>
                </c:pt>
                <c:pt idx="21">
                  <c:v>253.5</c:v>
                </c:pt>
                <c:pt idx="22">
                  <c:v>254.5</c:v>
                </c:pt>
                <c:pt idx="23">
                  <c:v>255.5</c:v>
                </c:pt>
                <c:pt idx="24">
                  <c:v>256.5</c:v>
                </c:pt>
                <c:pt idx="25">
                  <c:v>257.5</c:v>
                </c:pt>
                <c:pt idx="26">
                  <c:v>258.5</c:v>
                </c:pt>
                <c:pt idx="27">
                  <c:v>259.5</c:v>
                </c:pt>
                <c:pt idx="28">
                  <c:v>260.5</c:v>
                </c:pt>
                <c:pt idx="29">
                  <c:v>261.5</c:v>
                </c:pt>
                <c:pt idx="30">
                  <c:v>262.5</c:v>
                </c:pt>
                <c:pt idx="31">
                  <c:v>263.5</c:v>
                </c:pt>
                <c:pt idx="32">
                  <c:v>264.5</c:v>
                </c:pt>
                <c:pt idx="33">
                  <c:v>265.5</c:v>
                </c:pt>
                <c:pt idx="34">
                  <c:v>267.5</c:v>
                </c:pt>
                <c:pt idx="35">
                  <c:v>269.5</c:v>
                </c:pt>
                <c:pt idx="36">
                  <c:v>271.5</c:v>
                </c:pt>
                <c:pt idx="37">
                  <c:v>273.5</c:v>
                </c:pt>
                <c:pt idx="38">
                  <c:v>275.5</c:v>
                </c:pt>
                <c:pt idx="39">
                  <c:v>277.5</c:v>
                </c:pt>
                <c:pt idx="40">
                  <c:v>280.5</c:v>
                </c:pt>
                <c:pt idx="41">
                  <c:v>281.5</c:v>
                </c:pt>
                <c:pt idx="42">
                  <c:v>282.5</c:v>
                </c:pt>
                <c:pt idx="43">
                  <c:v>283.5</c:v>
                </c:pt>
                <c:pt idx="44">
                  <c:v>284.5</c:v>
                </c:pt>
                <c:pt idx="45">
                  <c:v>285.5</c:v>
                </c:pt>
                <c:pt idx="46">
                  <c:v>286.5</c:v>
                </c:pt>
                <c:pt idx="47">
                  <c:v>287.5</c:v>
                </c:pt>
                <c:pt idx="48">
                  <c:v>288.5</c:v>
                </c:pt>
                <c:pt idx="49">
                  <c:v>289.5</c:v>
                </c:pt>
                <c:pt idx="50">
                  <c:v>290.5</c:v>
                </c:pt>
                <c:pt idx="51">
                  <c:v>291.5</c:v>
                </c:pt>
                <c:pt idx="52">
                  <c:v>292.5</c:v>
                </c:pt>
                <c:pt idx="53">
                  <c:v>293.5</c:v>
                </c:pt>
                <c:pt idx="54">
                  <c:v>294.5</c:v>
                </c:pt>
                <c:pt idx="55">
                  <c:v>295.5</c:v>
                </c:pt>
                <c:pt idx="56">
                  <c:v>297.5</c:v>
                </c:pt>
                <c:pt idx="57">
                  <c:v>299.5</c:v>
                </c:pt>
                <c:pt idx="58">
                  <c:v>301.5</c:v>
                </c:pt>
                <c:pt idx="59">
                  <c:v>306.5</c:v>
                </c:pt>
                <c:pt idx="60">
                  <c:v>311.5</c:v>
                </c:pt>
                <c:pt idx="61">
                  <c:v>316.5</c:v>
                </c:pt>
                <c:pt idx="62">
                  <c:v>321.5</c:v>
                </c:pt>
                <c:pt idx="63">
                  <c:v>326.5</c:v>
                </c:pt>
                <c:pt idx="64">
                  <c:v>331.5</c:v>
                </c:pt>
                <c:pt idx="65">
                  <c:v>336.5</c:v>
                </c:pt>
                <c:pt idx="66">
                  <c:v>341.5</c:v>
                </c:pt>
                <c:pt idx="67">
                  <c:v>346.5</c:v>
                </c:pt>
                <c:pt idx="68">
                  <c:v>351.5</c:v>
                </c:pt>
                <c:pt idx="69">
                  <c:v>356.5</c:v>
                </c:pt>
                <c:pt idx="70">
                  <c:v>361.5</c:v>
                </c:pt>
                <c:pt idx="71">
                  <c:v>366.5</c:v>
                </c:pt>
                <c:pt idx="72">
                  <c:v>371.5</c:v>
                </c:pt>
                <c:pt idx="73">
                  <c:v>376.5</c:v>
                </c:pt>
                <c:pt idx="74">
                  <c:v>381.5</c:v>
                </c:pt>
                <c:pt idx="75">
                  <c:v>386.5</c:v>
                </c:pt>
                <c:pt idx="76">
                  <c:v>391.5</c:v>
                </c:pt>
                <c:pt idx="77">
                  <c:v>396.5</c:v>
                </c:pt>
                <c:pt idx="78">
                  <c:v>401.5</c:v>
                </c:pt>
                <c:pt idx="79">
                  <c:v>406.5</c:v>
                </c:pt>
                <c:pt idx="80">
                  <c:v>411.5</c:v>
                </c:pt>
                <c:pt idx="81">
                  <c:v>416.5</c:v>
                </c:pt>
                <c:pt idx="82">
                  <c:v>421.5</c:v>
                </c:pt>
                <c:pt idx="83">
                  <c:v>426.5</c:v>
                </c:pt>
                <c:pt idx="84">
                  <c:v>431.5</c:v>
                </c:pt>
                <c:pt idx="85">
                  <c:v>441.5</c:v>
                </c:pt>
                <c:pt idx="86">
                  <c:v>451.5</c:v>
                </c:pt>
                <c:pt idx="87">
                  <c:v>461.5</c:v>
                </c:pt>
                <c:pt idx="88">
                  <c:v>471.5</c:v>
                </c:pt>
                <c:pt idx="89">
                  <c:v>481.5</c:v>
                </c:pt>
                <c:pt idx="90">
                  <c:v>491.5</c:v>
                </c:pt>
                <c:pt idx="91">
                  <c:v>501.5</c:v>
                </c:pt>
                <c:pt idx="92">
                  <c:v>511.5</c:v>
                </c:pt>
                <c:pt idx="93">
                  <c:v>521.5</c:v>
                </c:pt>
                <c:pt idx="94">
                  <c:v>531.5</c:v>
                </c:pt>
                <c:pt idx="95">
                  <c:v>541.5</c:v>
                </c:pt>
                <c:pt idx="96">
                  <c:v>551.5</c:v>
                </c:pt>
                <c:pt idx="97">
                  <c:v>561.5</c:v>
                </c:pt>
                <c:pt idx="98">
                  <c:v>571.5</c:v>
                </c:pt>
                <c:pt idx="99">
                  <c:v>581.5</c:v>
                </c:pt>
                <c:pt idx="100">
                  <c:v>601.5</c:v>
                </c:pt>
                <c:pt idx="101">
                  <c:v>621.5</c:v>
                </c:pt>
                <c:pt idx="102">
                  <c:v>641.5</c:v>
                </c:pt>
                <c:pt idx="103">
                  <c:v>661.5</c:v>
                </c:pt>
                <c:pt idx="104">
                  <c:v>681.5</c:v>
                </c:pt>
                <c:pt idx="105">
                  <c:v>731.5</c:v>
                </c:pt>
                <c:pt idx="106">
                  <c:v>781.5</c:v>
                </c:pt>
                <c:pt idx="107">
                  <c:v>831.5</c:v>
                </c:pt>
                <c:pt idx="108">
                  <c:v>881.5</c:v>
                </c:pt>
                <c:pt idx="109">
                  <c:v>981.5</c:v>
                </c:pt>
                <c:pt idx="110">
                  <c:v>1081.5</c:v>
                </c:pt>
                <c:pt idx="111">
                  <c:v>1181.5</c:v>
                </c:pt>
                <c:pt idx="112">
                  <c:v>1281.5</c:v>
                </c:pt>
                <c:pt idx="113">
                  <c:v>1381.5</c:v>
                </c:pt>
                <c:pt idx="114">
                  <c:v>1481.5</c:v>
                </c:pt>
                <c:pt idx="115">
                  <c:v>1631.5</c:v>
                </c:pt>
              </c:numCache>
            </c:numRef>
          </c:xVal>
          <c:yVal>
            <c:numRef>
              <c:f>Dati!$G$2:$G$130</c:f>
              <c:numCache>
                <c:formatCode>#,##0</c:formatCode>
                <c:ptCount val="129"/>
                <c:pt idx="0">
                  <c:v>1568.3956187495346</c:v>
                </c:pt>
                <c:pt idx="1">
                  <c:v>1522.5370809527169</c:v>
                </c:pt>
                <c:pt idx="2">
                  <c:v>1514.6242539025059</c:v>
                </c:pt>
                <c:pt idx="3">
                  <c:v>1448.3063104970304</c:v>
                </c:pt>
                <c:pt idx="4">
                  <c:v>1416.5366742321485</c:v>
                </c:pt>
                <c:pt idx="5">
                  <c:v>1382.5913567979078</c:v>
                </c:pt>
                <c:pt idx="6">
                  <c:v>1352.1281761548335</c:v>
                </c:pt>
                <c:pt idx="7">
                  <c:v>1316.1424428014113</c:v>
                </c:pt>
                <c:pt idx="8">
                  <c:v>1292.227285364251</c:v>
                </c:pt>
                <c:pt idx="9">
                  <c:v>1256.5927696390497</c:v>
                </c:pt>
                <c:pt idx="10">
                  <c:v>1229.4369333409034</c:v>
                </c:pt>
                <c:pt idx="11">
                  <c:v>1216.4864065569802</c:v>
                </c:pt>
                <c:pt idx="12">
                  <c:v>1177.9033231647918</c:v>
                </c:pt>
                <c:pt idx="13">
                  <c:v>1160.0582035807654</c:v>
                </c:pt>
                <c:pt idx="14">
                  <c:v>1133.0499991071747</c:v>
                </c:pt>
                <c:pt idx="15">
                  <c:v>1126.0222379861807</c:v>
                </c:pt>
                <c:pt idx="16">
                  <c:v>1106.6729262437348</c:v>
                </c:pt>
                <c:pt idx="17">
                  <c:v>1086.0862804408871</c:v>
                </c:pt>
                <c:pt idx="18">
                  <c:v>1064.1044902928011</c:v>
                </c:pt>
                <c:pt idx="19">
                  <c:v>1047.7439145531227</c:v>
                </c:pt>
                <c:pt idx="20">
                  <c:v>1026.778442658594</c:v>
                </c:pt>
                <c:pt idx="21">
                  <c:v>1014.7575412000506</c:v>
                </c:pt>
                <c:pt idx="22">
                  <c:v>997.11005813176394</c:v>
                </c:pt>
                <c:pt idx="23">
                  <c:v>986.22185054767601</c:v>
                </c:pt>
                <c:pt idx="24">
                  <c:v>967.27810396229347</c:v>
                </c:pt>
                <c:pt idx="25">
                  <c:v>951.76583136790714</c:v>
                </c:pt>
                <c:pt idx="26">
                  <c:v>935.85143124581282</c:v>
                </c:pt>
                <c:pt idx="27">
                  <c:v>921.30762088650704</c:v>
                </c:pt>
                <c:pt idx="28">
                  <c:v>913.35673062950491</c:v>
                </c:pt>
                <c:pt idx="29">
                  <c:v>902.32259118873526</c:v>
                </c:pt>
                <c:pt idx="30">
                  <c:v>887.86164853068794</c:v>
                </c:pt>
                <c:pt idx="31">
                  <c:v>881.38319878055563</c:v>
                </c:pt>
                <c:pt idx="32">
                  <c:v>867.38188114877971</c:v>
                </c:pt>
                <c:pt idx="33">
                  <c:v>856.31606834535955</c:v>
                </c:pt>
                <c:pt idx="34">
                  <c:v>835.91280800603022</c:v>
                </c:pt>
                <c:pt idx="35">
                  <c:v>817.41771703364043</c:v>
                </c:pt>
                <c:pt idx="36">
                  <c:v>799.38993948084385</c:v>
                </c:pt>
                <c:pt idx="37">
                  <c:v>783.90908707552876</c:v>
                </c:pt>
                <c:pt idx="38">
                  <c:v>767.38704148583633</c:v>
                </c:pt>
                <c:pt idx="39">
                  <c:v>754.43717152141676</c:v>
                </c:pt>
                <c:pt idx="40">
                  <c:v>729.87584121464397</c:v>
                </c:pt>
                <c:pt idx="41">
                  <c:v>725.36750970623939</c:v>
                </c:pt>
                <c:pt idx="42">
                  <c:v>717.87462501523669</c:v>
                </c:pt>
                <c:pt idx="43">
                  <c:v>706.45534290239664</c:v>
                </c:pt>
                <c:pt idx="44">
                  <c:v>698.43410346668998</c:v>
                </c:pt>
                <c:pt idx="45">
                  <c:v>697.43410346668998</c:v>
                </c:pt>
                <c:pt idx="46">
                  <c:v>688.94979793160257</c:v>
                </c:pt>
                <c:pt idx="47">
                  <c:v>684.47166206396048</c:v>
                </c:pt>
                <c:pt idx="48">
                  <c:v>680.95909006382692</c:v>
                </c:pt>
                <c:pt idx="49">
                  <c:v>673.46326825153972</c:v>
                </c:pt>
                <c:pt idx="50">
                  <c:v>668.46311824386737</c:v>
                </c:pt>
                <c:pt idx="51">
                  <c:v>665.45383522701468</c:v>
                </c:pt>
                <c:pt idx="52">
                  <c:v>656.48955641615851</c:v>
                </c:pt>
                <c:pt idx="53">
                  <c:v>653.96694158426715</c:v>
                </c:pt>
                <c:pt idx="54">
                  <c:v>647.98130822981193</c:v>
                </c:pt>
                <c:pt idx="55">
                  <c:v>644.98126932838807</c:v>
                </c:pt>
                <c:pt idx="56">
                  <c:v>634.9664212342426</c:v>
                </c:pt>
                <c:pt idx="57">
                  <c:v>626.47768066658602</c:v>
                </c:pt>
                <c:pt idx="58">
                  <c:v>614.96584783011167</c:v>
                </c:pt>
                <c:pt idx="59">
                  <c:v>595.97345573965447</c:v>
                </c:pt>
                <c:pt idx="60">
                  <c:v>578.48887966849986</c:v>
                </c:pt>
                <c:pt idx="61">
                  <c:v>549</c:v>
                </c:pt>
                <c:pt idx="62">
                  <c:v>529</c:v>
                </c:pt>
                <c:pt idx="63">
                  <c:v>523</c:v>
                </c:pt>
                <c:pt idx="64">
                  <c:v>512</c:v>
                </c:pt>
                <c:pt idx="65">
                  <c:v>499</c:v>
                </c:pt>
                <c:pt idx="66">
                  <c:v>489</c:v>
                </c:pt>
                <c:pt idx="67">
                  <c:v>479</c:v>
                </c:pt>
                <c:pt idx="68">
                  <c:v>468</c:v>
                </c:pt>
                <c:pt idx="69">
                  <c:v>458</c:v>
                </c:pt>
                <c:pt idx="70">
                  <c:v>451</c:v>
                </c:pt>
                <c:pt idx="71">
                  <c:v>445</c:v>
                </c:pt>
                <c:pt idx="72">
                  <c:v>436</c:v>
                </c:pt>
                <c:pt idx="73">
                  <c:v>428</c:v>
                </c:pt>
                <c:pt idx="74">
                  <c:v>420</c:v>
                </c:pt>
                <c:pt idx="75">
                  <c:v>413</c:v>
                </c:pt>
                <c:pt idx="76">
                  <c:v>404</c:v>
                </c:pt>
                <c:pt idx="77">
                  <c:v>397</c:v>
                </c:pt>
                <c:pt idx="78">
                  <c:v>400</c:v>
                </c:pt>
                <c:pt idx="79">
                  <c:v>398</c:v>
                </c:pt>
                <c:pt idx="80">
                  <c:v>395</c:v>
                </c:pt>
                <c:pt idx="81">
                  <c:v>390</c:v>
                </c:pt>
                <c:pt idx="82">
                  <c:v>387</c:v>
                </c:pt>
                <c:pt idx="83">
                  <c:v>383</c:v>
                </c:pt>
                <c:pt idx="84">
                  <c:v>379</c:v>
                </c:pt>
                <c:pt idx="85">
                  <c:v>370</c:v>
                </c:pt>
                <c:pt idx="86">
                  <c:v>365</c:v>
                </c:pt>
                <c:pt idx="87">
                  <c:v>358</c:v>
                </c:pt>
                <c:pt idx="88">
                  <c:v>343</c:v>
                </c:pt>
                <c:pt idx="89">
                  <c:v>348</c:v>
                </c:pt>
                <c:pt idx="90">
                  <c:v>343</c:v>
                </c:pt>
                <c:pt idx="91">
                  <c:v>338</c:v>
                </c:pt>
                <c:pt idx="92">
                  <c:v>333</c:v>
                </c:pt>
                <c:pt idx="93">
                  <c:v>328</c:v>
                </c:pt>
                <c:pt idx="94">
                  <c:v>323</c:v>
                </c:pt>
                <c:pt idx="95">
                  <c:v>323</c:v>
                </c:pt>
                <c:pt idx="96">
                  <c:v>318</c:v>
                </c:pt>
                <c:pt idx="97">
                  <c:v>315</c:v>
                </c:pt>
                <c:pt idx="98">
                  <c:v>313</c:v>
                </c:pt>
                <c:pt idx="99">
                  <c:v>308</c:v>
                </c:pt>
                <c:pt idx="100">
                  <c:v>303</c:v>
                </c:pt>
                <c:pt idx="101">
                  <c:v>297</c:v>
                </c:pt>
                <c:pt idx="102">
                  <c:v>296</c:v>
                </c:pt>
                <c:pt idx="103">
                  <c:v>290</c:v>
                </c:pt>
                <c:pt idx="104">
                  <c:v>288</c:v>
                </c:pt>
                <c:pt idx="105">
                  <c:v>278</c:v>
                </c:pt>
                <c:pt idx="106">
                  <c:v>271</c:v>
                </c:pt>
                <c:pt idx="107">
                  <c:v>266</c:v>
                </c:pt>
                <c:pt idx="108">
                  <c:v>262</c:v>
                </c:pt>
                <c:pt idx="109">
                  <c:v>253</c:v>
                </c:pt>
                <c:pt idx="110">
                  <c:v>247</c:v>
                </c:pt>
                <c:pt idx="111">
                  <c:v>243</c:v>
                </c:pt>
                <c:pt idx="112">
                  <c:v>240</c:v>
                </c:pt>
                <c:pt idx="113">
                  <c:v>236</c:v>
                </c:pt>
                <c:pt idx="114">
                  <c:v>234</c:v>
                </c:pt>
                <c:pt idx="115">
                  <c:v>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57-4DA6-A563-BB893B034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532559"/>
        <c:axId val="1107539759"/>
      </c:scatterChart>
      <c:valAx>
        <c:axId val="11075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39759"/>
        <c:crosses val="autoZero"/>
        <c:crossBetween val="midCat"/>
      </c:valAx>
      <c:valAx>
        <c:axId val="11075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3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Dati!$J$1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Dati!#REF!</c:f>
            </c:numRef>
          </c:xVal>
          <c:yVal>
            <c:numRef>
              <c:f>Dati!$J$2:$J$130</c:f>
              <c:numCache>
                <c:formatCode>#,##0</c:formatCode>
                <c:ptCount val="12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E-4E3E-901C-9708093A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514991"/>
        <c:axId val="923509775"/>
      </c:scatterChart>
      <c:valAx>
        <c:axId val="92851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09775"/>
        <c:crosses val="autoZero"/>
        <c:crossBetween val="midCat"/>
      </c:valAx>
      <c:valAx>
        <c:axId val="92350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1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276592</xdr:colOff>
      <xdr:row>56</xdr:row>
      <xdr:rowOff>88210</xdr:rowOff>
    </xdr:from>
    <xdr:to>
      <xdr:col>34</xdr:col>
      <xdr:colOff>460531</xdr:colOff>
      <xdr:row>100</xdr:row>
      <xdr:rowOff>181355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8927B-960B-310B-CA9A-D170A5445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552822</xdr:colOff>
      <xdr:row>16</xdr:row>
      <xdr:rowOff>115046</xdr:rowOff>
    </xdr:from>
    <xdr:to>
      <xdr:col>40</xdr:col>
      <xdr:colOff>44824</xdr:colOff>
      <xdr:row>67</xdr:row>
      <xdr:rowOff>59763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B771C-CB8A-AA72-08D1-C1A21281A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315870</xdr:colOff>
      <xdr:row>54</xdr:row>
      <xdr:rowOff>34024</xdr:rowOff>
    </xdr:from>
    <xdr:to>
      <xdr:col>46</xdr:col>
      <xdr:colOff>325581</xdr:colOff>
      <xdr:row>110</xdr:row>
      <xdr:rowOff>69273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2C78A-0A79-C98C-39A0-1909BFF37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C8" sqref="C8"/>
    </sheetView>
  </sheetViews>
  <sheetFormatPr defaultColWidth="8.6640625" defaultRowHeight="14.4" x14ac:dyDescent="0.3"/>
  <cols>
    <col min="1" max="1" width="12.44140625" customWidth="1"/>
    <col min="2" max="4" width="12.44140625" style="1" customWidth="1"/>
  </cols>
  <sheetData>
    <row r="1" spans="1:4" ht="17.25" customHeight="1" x14ac:dyDescent="0.3">
      <c r="A1" s="2" t="s">
        <v>0</v>
      </c>
      <c r="B1" s="3" t="s">
        <v>1</v>
      </c>
      <c r="C1" s="3" t="s">
        <v>2</v>
      </c>
    </row>
    <row r="2" spans="1:4" ht="17.25" customHeight="1" x14ac:dyDescent="0.3">
      <c r="A2" s="2"/>
      <c r="B2" s="3"/>
      <c r="C2" s="3"/>
    </row>
    <row r="3" spans="1:4" ht="17.25" customHeight="1" x14ac:dyDescent="0.3"/>
    <row r="4" spans="1:4" ht="17.25" customHeight="1" x14ac:dyDescent="0.3">
      <c r="A4" s="2" t="s">
        <v>3</v>
      </c>
      <c r="B4" s="3" t="s">
        <v>4</v>
      </c>
      <c r="C4" s="3" t="s">
        <v>5</v>
      </c>
    </row>
    <row r="5" spans="1:4" ht="17.25" customHeight="1" x14ac:dyDescent="0.3">
      <c r="A5" s="2"/>
      <c r="B5" s="3"/>
      <c r="C5" s="3"/>
    </row>
    <row r="6" spans="1:4" ht="17.25" customHeight="1" x14ac:dyDescent="0.3"/>
    <row r="7" spans="1:4" ht="17.25" customHeight="1" x14ac:dyDescent="0.3">
      <c r="A7" s="2" t="s">
        <v>6</v>
      </c>
      <c r="B7" s="3" t="s">
        <v>7</v>
      </c>
      <c r="C7" s="3" t="s">
        <v>8</v>
      </c>
      <c r="D7" s="3" t="s">
        <v>9</v>
      </c>
    </row>
    <row r="8" spans="1:4" ht="17.25" customHeight="1" x14ac:dyDescent="0.3">
      <c r="A8" s="2"/>
      <c r="B8" s="4">
        <v>0.2</v>
      </c>
      <c r="C8" s="4">
        <f>B8/SQRT(3)</f>
        <v>0.11547005383792516</v>
      </c>
      <c r="D8" s="4">
        <f>B8/SQRT(3)</f>
        <v>0.11547005383792516</v>
      </c>
    </row>
    <row r="9" spans="1:4" ht="17.25" customHeight="1" x14ac:dyDescent="0.3"/>
    <row r="10" spans="1:4" ht="17.25" customHeight="1" x14ac:dyDescent="0.3">
      <c r="A10" s="2" t="s">
        <v>10</v>
      </c>
      <c r="B10" s="3" t="s">
        <v>11</v>
      </c>
      <c r="C10" s="3" t="s">
        <v>12</v>
      </c>
      <c r="D10" s="3" t="s">
        <v>13</v>
      </c>
    </row>
    <row r="11" spans="1:4" ht="17.25" customHeight="1" x14ac:dyDescent="0.3">
      <c r="A11" s="2"/>
      <c r="B11" s="4">
        <v>0.2</v>
      </c>
      <c r="C11" s="4">
        <f>B11/SQRT(3)</f>
        <v>0.11547005383792516</v>
      </c>
      <c r="D11" s="4">
        <f>B11/SQRT(3)</f>
        <v>0.11547005383792516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0"/>
  <sheetViews>
    <sheetView topLeftCell="A46" zoomScale="56" zoomScaleNormal="100" workbookViewId="0">
      <selection activeCell="K1" sqref="K1"/>
    </sheetView>
  </sheetViews>
  <sheetFormatPr defaultColWidth="8.6640625" defaultRowHeight="14.4" x14ac:dyDescent="0.3"/>
  <cols>
    <col min="1" max="1" width="12.44140625" style="5" customWidth="1"/>
    <col min="2" max="3" width="12.44140625" customWidth="1"/>
    <col min="4" max="4" width="12.44140625" style="6" customWidth="1"/>
    <col min="5" max="5" width="12.44140625" style="5" customWidth="1"/>
    <col min="6" max="6" width="12.44140625" style="10" customWidth="1"/>
    <col min="7" max="10" width="12.44140625" style="5" customWidth="1"/>
  </cols>
  <sheetData>
    <row r="1" spans="1:10" ht="17.25" customHeight="1" x14ac:dyDescent="0.3">
      <c r="A1" s="5" t="s">
        <v>14</v>
      </c>
      <c r="B1" t="s">
        <v>15</v>
      </c>
      <c r="C1" t="s">
        <v>16</v>
      </c>
      <c r="D1" s="6" t="s">
        <v>17</v>
      </c>
      <c r="E1" s="5" t="s">
        <v>18</v>
      </c>
      <c r="F1" s="10" t="s">
        <v>9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 ht="17.25" customHeight="1" x14ac:dyDescent="0.3">
      <c r="A2" s="7">
        <v>270</v>
      </c>
      <c r="D2" s="8">
        <f t="shared" ref="D2:D33" si="0">B2+2*E2</f>
        <v>3950</v>
      </c>
      <c r="E2" s="1">
        <v>1975</v>
      </c>
      <c r="F2" s="11">
        <f>IF(C2=0, Parametri!$D$8, ABS(B2-C2)/(2*SQRT(3)))</f>
        <v>0.11547005383792516</v>
      </c>
      <c r="G2" s="1">
        <f>(A2-335)+135.8+(Parametri!$A$5/2)</f>
        <v>70.800000000000011</v>
      </c>
      <c r="H2" s="1">
        <f>(E2-192)-('Dati (2)'!A2-Parametri!$A$11)+Parametri!$A$2</f>
        <v>1513</v>
      </c>
      <c r="I2" s="1">
        <f t="shared" ref="I2:I33" si="1">F2</f>
        <v>0.11547005383792516</v>
      </c>
      <c r="J2" s="1">
        <f>Parametri!$D$8</f>
        <v>0.11547005383792516</v>
      </c>
    </row>
    <row r="3" spans="1:10" ht="17.25" customHeight="1" x14ac:dyDescent="0.3">
      <c r="A3" s="7">
        <f t="shared" ref="A3:A47" si="2">A2+1</f>
        <v>271</v>
      </c>
      <c r="D3" s="8">
        <f t="shared" si="0"/>
        <v>3950</v>
      </c>
      <c r="E3" s="1">
        <v>1975</v>
      </c>
      <c r="F3" s="11">
        <f>IF(C3=0, Parametri!$D$8, ABS(B3-C3)/(2*SQRT(3)))</f>
        <v>0.11547005383792516</v>
      </c>
      <c r="G3" s="1">
        <f>(A3-335)+135.8+(Parametri!$A$5/2)</f>
        <v>71.800000000000011</v>
      </c>
      <c r="H3" s="1">
        <f>(E3-192)-('Dati (2)'!A3-Parametri!$A$11)+Parametri!$A$2</f>
        <v>1512</v>
      </c>
      <c r="I3" s="1">
        <f t="shared" si="1"/>
        <v>0.11547005383792516</v>
      </c>
      <c r="J3" s="1">
        <f>Parametri!$D$8</f>
        <v>0.11547005383792516</v>
      </c>
    </row>
    <row r="4" spans="1:10" ht="17.25" customHeight="1" x14ac:dyDescent="0.3">
      <c r="A4" s="7">
        <f t="shared" si="2"/>
        <v>272</v>
      </c>
      <c r="D4" s="8">
        <f t="shared" si="0"/>
        <v>3824</v>
      </c>
      <c r="E4" s="1">
        <v>1912</v>
      </c>
      <c r="F4" s="11">
        <f>IF(C4=0, Parametri!$D$8, ABS(B4-C4)/(2*SQRT(3)))</f>
        <v>0.11547005383792516</v>
      </c>
      <c r="G4" s="1">
        <f>(A4-335)+135.8+(Parametri!$A$5/2)</f>
        <v>72.800000000000011</v>
      </c>
      <c r="H4" s="1">
        <f>(E4-192)-('Dati (2)'!A4-Parametri!$A$11)+Parametri!$A$2</f>
        <v>1448</v>
      </c>
      <c r="I4" s="1">
        <f t="shared" si="1"/>
        <v>0.11547005383792516</v>
      </c>
      <c r="J4" s="1">
        <f>Parametri!$D$8</f>
        <v>0.11547005383792516</v>
      </c>
    </row>
    <row r="5" spans="1:10" ht="17.25" customHeight="1" x14ac:dyDescent="0.3">
      <c r="A5" s="7">
        <f t="shared" si="2"/>
        <v>273</v>
      </c>
      <c r="D5" s="8">
        <f t="shared" si="0"/>
        <v>3786</v>
      </c>
      <c r="E5" s="1">
        <v>1893</v>
      </c>
      <c r="F5" s="11">
        <f>IF(C5=0, Parametri!$D$8, ABS(B5-C5)/(2*SQRT(3)))</f>
        <v>0.11547005383792516</v>
      </c>
      <c r="G5" s="1">
        <f>(A5-335)+135.8+(Parametri!$A$5/2)</f>
        <v>73.800000000000011</v>
      </c>
      <c r="H5" s="1">
        <f>(E5-192)-('Dati (2)'!A5-Parametri!$A$11)+Parametri!$A$2</f>
        <v>1428</v>
      </c>
      <c r="I5" s="1">
        <f t="shared" si="1"/>
        <v>0.11547005383792516</v>
      </c>
      <c r="J5" s="1">
        <f>Parametri!$D$8</f>
        <v>0.11547005383792516</v>
      </c>
    </row>
    <row r="6" spans="1:10" ht="17.25" customHeight="1" x14ac:dyDescent="0.3">
      <c r="A6" s="7">
        <f t="shared" si="2"/>
        <v>274</v>
      </c>
      <c r="D6" s="8">
        <f t="shared" si="0"/>
        <v>3634</v>
      </c>
      <c r="E6" s="1">
        <v>1817</v>
      </c>
      <c r="F6" s="11">
        <f>IF(C6=0, Parametri!$D$8, ABS(B6-C6)/(2*SQRT(3)))</f>
        <v>0.11547005383792516</v>
      </c>
      <c r="G6" s="1">
        <f>(A6-335)+135.8+(Parametri!$A$5/2)</f>
        <v>74.800000000000011</v>
      </c>
      <c r="H6" s="1">
        <f>(E6-192)-('Dati (2)'!A6-Parametri!$A$11)+Parametri!$A$2</f>
        <v>1351</v>
      </c>
      <c r="I6" s="1">
        <f t="shared" si="1"/>
        <v>0.11547005383792516</v>
      </c>
      <c r="J6" s="1">
        <f>Parametri!$D$8</f>
        <v>0.11547005383792516</v>
      </c>
    </row>
    <row r="7" spans="1:10" ht="17.25" customHeight="1" x14ac:dyDescent="0.3">
      <c r="A7" s="7">
        <f t="shared" si="2"/>
        <v>275</v>
      </c>
      <c r="D7" s="8">
        <f t="shared" si="0"/>
        <v>3566</v>
      </c>
      <c r="E7" s="1">
        <v>1783</v>
      </c>
      <c r="F7" s="11">
        <f>IF(C7=0, Parametri!$D$8, ABS(B7-C7)/(2*SQRT(3)))</f>
        <v>0.11547005383792516</v>
      </c>
      <c r="G7" s="1">
        <f>(A7-335)+135.8+(Parametri!$A$5/2)</f>
        <v>75.800000000000011</v>
      </c>
      <c r="H7" s="1">
        <f>(E7-192)-('Dati (2)'!A7-Parametri!$A$11)+Parametri!$A$2</f>
        <v>1316</v>
      </c>
      <c r="I7" s="1">
        <f t="shared" si="1"/>
        <v>0.11547005383792516</v>
      </c>
      <c r="J7" s="1">
        <f>Parametri!$D$8</f>
        <v>0.11547005383792516</v>
      </c>
    </row>
    <row r="8" spans="1:10" ht="17.25" customHeight="1" x14ac:dyDescent="0.3">
      <c r="A8" s="7">
        <f t="shared" si="2"/>
        <v>276</v>
      </c>
      <c r="D8" s="8">
        <f t="shared" si="0"/>
        <v>3447</v>
      </c>
      <c r="E8" s="1">
        <v>1723.5</v>
      </c>
      <c r="F8" s="11">
        <f>IF(C8=0, Parametri!$D$8, ABS(B8-C8)/(2*SQRT(3)))</f>
        <v>0.11547005383792516</v>
      </c>
      <c r="G8" s="1">
        <f>(A8-335)+135.8+(Parametri!$A$5/2)</f>
        <v>76.800000000000011</v>
      </c>
      <c r="H8" s="1">
        <f>(E8-192)-('Dati (2)'!A8-Parametri!$A$11)+Parametri!$A$2</f>
        <v>1255.5</v>
      </c>
      <c r="I8" s="1">
        <f t="shared" si="1"/>
        <v>0.11547005383792516</v>
      </c>
      <c r="J8" s="1">
        <f>Parametri!$D$8</f>
        <v>0.11547005383792516</v>
      </c>
    </row>
    <row r="9" spans="1:10" ht="17.25" customHeight="1" x14ac:dyDescent="0.3">
      <c r="A9" s="7">
        <f t="shared" si="2"/>
        <v>277</v>
      </c>
      <c r="D9" s="8">
        <f t="shared" si="0"/>
        <v>3352</v>
      </c>
      <c r="E9" s="1">
        <v>1676</v>
      </c>
      <c r="F9" s="11">
        <f>IF(C9=0, Parametri!$D$8, ABS(B9-C9)/(2*SQRT(3)))</f>
        <v>0.11547005383792516</v>
      </c>
      <c r="G9" s="1">
        <f>(A9-335)+135.8+(Parametri!$A$5/2)</f>
        <v>77.800000000000011</v>
      </c>
      <c r="H9" s="1">
        <f>(E9-192)-('Dati (2)'!A9-Parametri!$A$11)+Parametri!$A$2</f>
        <v>1207</v>
      </c>
      <c r="I9" s="1">
        <f t="shared" si="1"/>
        <v>0.11547005383792516</v>
      </c>
      <c r="J9" s="1">
        <f>Parametri!$D$8</f>
        <v>0.11547005383792516</v>
      </c>
    </row>
    <row r="10" spans="1:10" ht="17.25" customHeight="1" x14ac:dyDescent="0.3">
      <c r="A10" s="7">
        <f t="shared" si="2"/>
        <v>278</v>
      </c>
      <c r="D10" s="8">
        <f t="shared" si="0"/>
        <v>3320</v>
      </c>
      <c r="E10" s="1">
        <v>1660</v>
      </c>
      <c r="F10" s="11">
        <f>IF(C10=0, Parametri!$D$8, ABS(B10-C10)/(2*SQRT(3)))</f>
        <v>0.11547005383792516</v>
      </c>
      <c r="G10" s="1">
        <f>(A10-335)+135.8+(Parametri!$A$5/2)</f>
        <v>78.800000000000011</v>
      </c>
      <c r="H10" s="1">
        <f>(E10-192)-('Dati (2)'!A10-Parametri!$A$11)+Parametri!$A$2</f>
        <v>1190</v>
      </c>
      <c r="I10" s="1">
        <f t="shared" si="1"/>
        <v>0.11547005383792516</v>
      </c>
      <c r="J10" s="1">
        <f>Parametri!$D$8</f>
        <v>0.11547005383792516</v>
      </c>
    </row>
    <row r="11" spans="1:10" ht="17.25" customHeight="1" x14ac:dyDescent="0.3">
      <c r="A11" s="7">
        <f t="shared" si="2"/>
        <v>279</v>
      </c>
      <c r="D11" s="8">
        <f t="shared" si="0"/>
        <v>3231</v>
      </c>
      <c r="E11" s="1">
        <v>1615.5</v>
      </c>
      <c r="F11" s="11">
        <f>IF(C11=0, Parametri!$D$8, ABS(B11-C11)/(2*SQRT(3)))</f>
        <v>0.11547005383792516</v>
      </c>
      <c r="G11" s="1">
        <f>(A11-335)+135.8+(Parametri!$A$5/2)</f>
        <v>79.800000000000011</v>
      </c>
      <c r="H11" s="1">
        <f>(E11-192)-('Dati (2)'!A11-Parametri!$A$11)+Parametri!$A$2</f>
        <v>1144.5</v>
      </c>
      <c r="I11" s="1">
        <f t="shared" si="1"/>
        <v>0.11547005383792516</v>
      </c>
      <c r="J11" s="1">
        <f>Parametri!$D$8</f>
        <v>0.11547005383792516</v>
      </c>
    </row>
    <row r="12" spans="1:10" ht="17.25" customHeight="1" x14ac:dyDescent="0.3">
      <c r="A12" s="7">
        <f t="shared" si="2"/>
        <v>280</v>
      </c>
      <c r="D12" s="8">
        <f t="shared" si="0"/>
        <v>3163</v>
      </c>
      <c r="E12" s="1">
        <v>1581.5</v>
      </c>
      <c r="F12" s="11">
        <f>IF(C12=0, Parametri!$D$8, ABS(B12-C12)/(2*SQRT(3)))</f>
        <v>0.11547005383792516</v>
      </c>
      <c r="G12" s="1">
        <f>(A12-335)+135.8+(Parametri!$A$5/2)</f>
        <v>80.800000000000011</v>
      </c>
      <c r="H12" s="1">
        <f>(E12-192)-('Dati (2)'!A12-Parametri!$A$11)+Parametri!$A$2</f>
        <v>1109.5</v>
      </c>
      <c r="I12" s="1">
        <f t="shared" si="1"/>
        <v>0.11547005383792516</v>
      </c>
      <c r="J12" s="1">
        <f>Parametri!$D$8</f>
        <v>0.11547005383792516</v>
      </c>
    </row>
    <row r="13" spans="1:10" ht="17.25" customHeight="1" x14ac:dyDescent="0.3">
      <c r="A13" s="7">
        <f t="shared" si="2"/>
        <v>281</v>
      </c>
      <c r="D13" s="8">
        <f t="shared" si="0"/>
        <v>3122</v>
      </c>
      <c r="E13" s="1">
        <v>1561</v>
      </c>
      <c r="F13" s="11">
        <f>IF(C13=0, Parametri!$D$8, ABS(B13-C13)/(2*SQRT(3)))</f>
        <v>0.11547005383792516</v>
      </c>
      <c r="G13" s="1">
        <f>(A13-335)+135.8+(Parametri!$A$5/2)</f>
        <v>81.800000000000011</v>
      </c>
      <c r="H13" s="1">
        <f>(E13-192)-('Dati (2)'!A13-Parametri!$A$11)+Parametri!$A$2</f>
        <v>1088</v>
      </c>
      <c r="I13" s="1">
        <f t="shared" si="1"/>
        <v>0.11547005383792516</v>
      </c>
      <c r="J13" s="1">
        <f>Parametri!$D$8</f>
        <v>0.11547005383792516</v>
      </c>
    </row>
    <row r="14" spans="1:10" ht="17.25" customHeight="1" x14ac:dyDescent="0.3">
      <c r="A14" s="7">
        <f t="shared" si="2"/>
        <v>282</v>
      </c>
      <c r="D14" s="8">
        <f t="shared" si="0"/>
        <v>3067</v>
      </c>
      <c r="E14" s="1">
        <v>1533.5</v>
      </c>
      <c r="F14" s="11">
        <f>IF(C14=0, Parametri!$D$8, ABS(B14-C14)/(2*SQRT(3)))</f>
        <v>0.11547005383792516</v>
      </c>
      <c r="G14" s="1">
        <f>(A14-335)+135.8+(Parametri!$A$5/2)</f>
        <v>82.800000000000011</v>
      </c>
      <c r="H14" s="1">
        <f>(E14-192)-('Dati (2)'!A14-Parametri!$A$11)+Parametri!$A$2</f>
        <v>1059.5</v>
      </c>
      <c r="I14" s="1">
        <f t="shared" si="1"/>
        <v>0.11547005383792516</v>
      </c>
      <c r="J14" s="1">
        <f>Parametri!$D$8</f>
        <v>0.11547005383792516</v>
      </c>
    </row>
    <row r="15" spans="1:10" ht="17.25" customHeight="1" x14ac:dyDescent="0.3">
      <c r="A15" s="7">
        <f t="shared" si="2"/>
        <v>283</v>
      </c>
      <c r="D15" s="8">
        <f t="shared" si="0"/>
        <v>3021</v>
      </c>
      <c r="E15" s="1">
        <v>1510.5</v>
      </c>
      <c r="F15" s="11">
        <f>IF(C15=0, Parametri!$D$8, ABS(B15-C15)/(2*SQRT(3)))</f>
        <v>0.11547005383792516</v>
      </c>
      <c r="G15" s="1">
        <f>(A15-335)+135.8+(Parametri!$A$5/2)</f>
        <v>83.800000000000011</v>
      </c>
      <c r="H15" s="1">
        <f>(E15-192)-('Dati (2)'!A15-Parametri!$A$11)+Parametri!$A$2</f>
        <v>1035.5</v>
      </c>
      <c r="I15" s="1">
        <f t="shared" si="1"/>
        <v>0.11547005383792516</v>
      </c>
      <c r="J15" s="1">
        <f>Parametri!$D$8</f>
        <v>0.11547005383792516</v>
      </c>
    </row>
    <row r="16" spans="1:10" ht="17.25" customHeight="1" x14ac:dyDescent="0.3">
      <c r="A16" s="7">
        <f t="shared" si="2"/>
        <v>284</v>
      </c>
      <c r="D16" s="8">
        <f t="shared" si="0"/>
        <v>2973</v>
      </c>
      <c r="E16" s="1">
        <v>1486.5</v>
      </c>
      <c r="F16" s="11">
        <f>IF(C16=0, Parametri!$D$8, ABS(B16-C16)/(2*SQRT(3)))</f>
        <v>0.11547005383792516</v>
      </c>
      <c r="G16" s="1">
        <f>(A16-335)+135.8+(Parametri!$A$5/2)</f>
        <v>84.800000000000011</v>
      </c>
      <c r="H16" s="1">
        <f>(E16-192)-('Dati (2)'!A16-Parametri!$A$11)+Parametri!$A$2</f>
        <v>1010.5</v>
      </c>
      <c r="I16" s="1">
        <f t="shared" si="1"/>
        <v>0.11547005383792516</v>
      </c>
      <c r="J16" s="1">
        <f>Parametri!$D$8</f>
        <v>0.11547005383792516</v>
      </c>
    </row>
    <row r="17" spans="1:10" ht="17.25" customHeight="1" x14ac:dyDescent="0.3">
      <c r="A17" s="7">
        <f t="shared" si="2"/>
        <v>285</v>
      </c>
      <c r="D17" s="8">
        <f t="shared" si="0"/>
        <v>2924</v>
      </c>
      <c r="E17" s="1">
        <v>1462</v>
      </c>
      <c r="F17" s="11">
        <f>IF(C17=0, Parametri!$D$8, ABS(B17-C17)/(2*SQRT(3)))</f>
        <v>0.11547005383792516</v>
      </c>
      <c r="G17" s="1">
        <f>(A17-335)+135.8+(Parametri!$A$5/2)</f>
        <v>85.800000000000011</v>
      </c>
      <c r="H17" s="1">
        <f>(E17-192)-('Dati (2)'!A17-Parametri!$A$11)+Parametri!$A$2</f>
        <v>985</v>
      </c>
      <c r="I17" s="1">
        <f t="shared" si="1"/>
        <v>0.11547005383792516</v>
      </c>
      <c r="J17" s="1">
        <f>Parametri!$D$8</f>
        <v>0.11547005383792516</v>
      </c>
    </row>
    <row r="18" spans="1:10" ht="17.25" customHeight="1" x14ac:dyDescent="0.3">
      <c r="A18" s="7">
        <f t="shared" si="2"/>
        <v>286</v>
      </c>
      <c r="D18" s="8">
        <f t="shared" si="0"/>
        <v>2885</v>
      </c>
      <c r="E18" s="1">
        <v>1442.5</v>
      </c>
      <c r="F18" s="11">
        <f>IF(C18=0, Parametri!$D$8, ABS(B18-C18)/(2*SQRT(3)))</f>
        <v>0.11547005383792516</v>
      </c>
      <c r="G18" s="1">
        <f>(A18-335)+135.8+(Parametri!$A$5/2)</f>
        <v>86.800000000000011</v>
      </c>
      <c r="H18" s="1">
        <f>(E18-192)-('Dati (2)'!A18-Parametri!$A$11)+Parametri!$A$2</f>
        <v>964.5</v>
      </c>
      <c r="I18" s="1">
        <f t="shared" si="1"/>
        <v>0.11547005383792516</v>
      </c>
      <c r="J18" s="1">
        <f>Parametri!$D$8</f>
        <v>0.11547005383792516</v>
      </c>
    </row>
    <row r="19" spans="1:10" ht="17.25" customHeight="1" x14ac:dyDescent="0.3">
      <c r="A19" s="7">
        <f t="shared" si="2"/>
        <v>287</v>
      </c>
      <c r="D19" s="8">
        <f t="shared" si="0"/>
        <v>2842</v>
      </c>
      <c r="E19" s="1">
        <v>1421</v>
      </c>
      <c r="F19" s="11">
        <f>IF(C19=0, Parametri!$D$8, ABS(B19-C19)/(2*SQRT(3)))</f>
        <v>0.11547005383792516</v>
      </c>
      <c r="G19" s="1">
        <f>(A19-335)+135.8+(Parametri!$A$5/2)</f>
        <v>87.800000000000011</v>
      </c>
      <c r="H19" s="1">
        <f>(E19-192)-('Dati (2)'!A19-Parametri!$A$11)+Parametri!$A$2</f>
        <v>942</v>
      </c>
      <c r="I19" s="1">
        <f t="shared" si="1"/>
        <v>0.11547005383792516</v>
      </c>
      <c r="J19" s="1">
        <f>Parametri!$D$8</f>
        <v>0.11547005383792516</v>
      </c>
    </row>
    <row r="20" spans="1:10" ht="17.25" customHeight="1" x14ac:dyDescent="0.3">
      <c r="A20" s="7">
        <f t="shared" si="2"/>
        <v>288</v>
      </c>
      <c r="D20" s="8">
        <f t="shared" si="0"/>
        <v>2817</v>
      </c>
      <c r="E20" s="1">
        <v>1408.5</v>
      </c>
      <c r="F20" s="11">
        <f>IF(C20=0, Parametri!$D$8, ABS(B20-C20)/(2*SQRT(3)))</f>
        <v>0.11547005383792516</v>
      </c>
      <c r="G20" s="1">
        <f>(A20-335)+135.8+(Parametri!$A$5/2)</f>
        <v>88.800000000000011</v>
      </c>
      <c r="H20" s="1">
        <f>(E20-192)-('Dati (2)'!A20-Parametri!$A$11)+Parametri!$A$2</f>
        <v>928.5</v>
      </c>
      <c r="I20" s="1">
        <f t="shared" si="1"/>
        <v>0.11547005383792516</v>
      </c>
      <c r="J20" s="1">
        <f>Parametri!$D$8</f>
        <v>0.11547005383792516</v>
      </c>
    </row>
    <row r="21" spans="1:10" ht="17.25" customHeight="1" x14ac:dyDescent="0.3">
      <c r="A21" s="7">
        <f t="shared" si="2"/>
        <v>289</v>
      </c>
      <c r="D21" s="8">
        <f t="shared" si="0"/>
        <v>2760</v>
      </c>
      <c r="E21" s="1">
        <v>1380</v>
      </c>
      <c r="F21" s="11">
        <f>IF(C21=0, Parametri!$D$8, ABS(B21-C21)/(2*SQRT(3)))</f>
        <v>0.11547005383792516</v>
      </c>
      <c r="G21" s="1">
        <f>(A21-335)+135.8+(Parametri!$A$5/2)</f>
        <v>89.800000000000011</v>
      </c>
      <c r="H21" s="1">
        <f>(E21-192)-('Dati (2)'!A21-Parametri!$A$11)+Parametri!$A$2</f>
        <v>899</v>
      </c>
      <c r="I21" s="1">
        <f t="shared" si="1"/>
        <v>0.11547005383792516</v>
      </c>
      <c r="J21" s="1">
        <f>Parametri!$D$8</f>
        <v>0.11547005383792516</v>
      </c>
    </row>
    <row r="22" spans="1:10" ht="17.25" customHeight="1" x14ac:dyDescent="0.3">
      <c r="A22" s="7">
        <f t="shared" si="2"/>
        <v>290</v>
      </c>
      <c r="D22" s="8">
        <f t="shared" si="0"/>
        <v>2747</v>
      </c>
      <c r="E22" s="1">
        <v>1373.5</v>
      </c>
      <c r="F22" s="11">
        <f>IF(C22=0, Parametri!$D$8, ABS(B22-C22)/(2*SQRT(3)))</f>
        <v>0.11547005383792516</v>
      </c>
      <c r="G22" s="1">
        <f>(A22-335)+135.8+(Parametri!$A$5/2)</f>
        <v>90.800000000000011</v>
      </c>
      <c r="H22" s="1">
        <f>(E22-192)-('Dati (2)'!A22-Parametri!$A$11)+Parametri!$A$2</f>
        <v>891.5</v>
      </c>
      <c r="I22" s="1">
        <f t="shared" si="1"/>
        <v>0.11547005383792516</v>
      </c>
      <c r="J22" s="1">
        <f>Parametri!$D$8</f>
        <v>0.11547005383792516</v>
      </c>
    </row>
    <row r="23" spans="1:10" ht="17.25" customHeight="1" x14ac:dyDescent="0.3">
      <c r="A23" s="7">
        <f t="shared" si="2"/>
        <v>291</v>
      </c>
      <c r="D23" s="8">
        <f t="shared" si="0"/>
        <v>2698</v>
      </c>
      <c r="E23" s="1">
        <v>1349</v>
      </c>
      <c r="F23" s="11">
        <f>IF(C23=0, Parametri!$D$8, ABS(B23-C23)/(2*SQRT(3)))</f>
        <v>0.11547005383792516</v>
      </c>
      <c r="G23" s="1">
        <f>(A23-335)+135.8+(Parametri!$A$5/2)</f>
        <v>91.800000000000011</v>
      </c>
      <c r="H23" s="1">
        <f>(E23-192)-('Dati (2)'!A23-Parametri!$A$11)+Parametri!$A$2</f>
        <v>866</v>
      </c>
      <c r="I23" s="1">
        <f t="shared" si="1"/>
        <v>0.11547005383792516</v>
      </c>
      <c r="J23" s="1">
        <f>Parametri!$D$8</f>
        <v>0.11547005383792516</v>
      </c>
    </row>
    <row r="24" spans="1:10" ht="17.25" customHeight="1" x14ac:dyDescent="0.3">
      <c r="A24" s="7">
        <f t="shared" si="2"/>
        <v>292</v>
      </c>
      <c r="D24" s="8">
        <f t="shared" si="0"/>
        <v>2667</v>
      </c>
      <c r="E24" s="1">
        <v>1333.5</v>
      </c>
      <c r="F24" s="11">
        <f>IF(C24=0, Parametri!$D$8, ABS(B24-C24)/(2*SQRT(3)))</f>
        <v>0.11547005383792516</v>
      </c>
      <c r="G24" s="1">
        <f>(A24-335)+135.8+(Parametri!$A$5/2)</f>
        <v>92.800000000000011</v>
      </c>
      <c r="H24" s="1">
        <f>(E24-192)-('Dati (2)'!A24-Parametri!$A$11)+Parametri!$A$2</f>
        <v>849.5</v>
      </c>
      <c r="I24" s="1">
        <f t="shared" si="1"/>
        <v>0.11547005383792516</v>
      </c>
      <c r="J24" s="1">
        <f>Parametri!$D$8</f>
        <v>0.11547005383792516</v>
      </c>
    </row>
    <row r="25" spans="1:10" ht="17.25" customHeight="1" x14ac:dyDescent="0.3">
      <c r="A25" s="7">
        <f t="shared" si="2"/>
        <v>293</v>
      </c>
      <c r="D25" s="8">
        <f t="shared" si="0"/>
        <v>2625</v>
      </c>
      <c r="E25" s="1">
        <v>1312.5</v>
      </c>
      <c r="F25" s="11">
        <f>IF(C25=0, Parametri!$D$8, ABS(B25-C25)/(2*SQRT(3)))</f>
        <v>0.11547005383792516</v>
      </c>
      <c r="G25" s="1">
        <f>(A25-335)+135.8+(Parametri!$A$5/2)</f>
        <v>93.800000000000011</v>
      </c>
      <c r="H25" s="1">
        <f>(E25-192)-('Dati (2)'!A25-Parametri!$A$11)+Parametri!$A$2</f>
        <v>827.5</v>
      </c>
      <c r="I25" s="1">
        <f t="shared" si="1"/>
        <v>0.11547005383792516</v>
      </c>
      <c r="J25" s="1">
        <f>Parametri!$D$8</f>
        <v>0.11547005383792516</v>
      </c>
    </row>
    <row r="26" spans="1:10" ht="17.25" customHeight="1" x14ac:dyDescent="0.3">
      <c r="A26" s="7">
        <f t="shared" si="2"/>
        <v>294</v>
      </c>
      <c r="D26" s="8">
        <f t="shared" si="0"/>
        <v>2608</v>
      </c>
      <c r="E26" s="1">
        <v>1304</v>
      </c>
      <c r="F26" s="11">
        <f>IF(C26=0, Parametri!$D$8, ABS(B26-C26)/(2*SQRT(3)))</f>
        <v>0.11547005383792516</v>
      </c>
      <c r="G26" s="1">
        <f>(A26-335)+135.8+(Parametri!$A$5/2)</f>
        <v>94.800000000000011</v>
      </c>
      <c r="H26" s="1">
        <f>(E26-192)-('Dati (2)'!A26-Parametri!$A$11)+Parametri!$A$2</f>
        <v>818</v>
      </c>
      <c r="I26" s="1">
        <f t="shared" si="1"/>
        <v>0.11547005383792516</v>
      </c>
      <c r="J26" s="1">
        <f>Parametri!$D$8</f>
        <v>0.11547005383792516</v>
      </c>
    </row>
    <row r="27" spans="1:10" ht="17.25" customHeight="1" x14ac:dyDescent="0.3">
      <c r="A27" s="7">
        <f t="shared" si="2"/>
        <v>295</v>
      </c>
      <c r="D27" s="8">
        <f t="shared" si="0"/>
        <v>2586</v>
      </c>
      <c r="E27" s="1">
        <v>1293</v>
      </c>
      <c r="F27" s="11">
        <f>IF(C27=0, Parametri!$D$8, ABS(B27-C27)/(2*SQRT(3)))</f>
        <v>0.11547005383792516</v>
      </c>
      <c r="G27" s="1">
        <f>(A27-335)+135.8+(Parametri!$A$5/2)</f>
        <v>95.800000000000011</v>
      </c>
      <c r="H27" s="1">
        <f>(E27-192)-('Dati (2)'!A27-Parametri!$A$11)+Parametri!$A$2</f>
        <v>806</v>
      </c>
      <c r="I27" s="1">
        <f t="shared" si="1"/>
        <v>0.11547005383792516</v>
      </c>
      <c r="J27" s="1">
        <f>Parametri!$D$8</f>
        <v>0.11547005383792516</v>
      </c>
    </row>
    <row r="28" spans="1:10" ht="17.25" customHeight="1" x14ac:dyDescent="0.3">
      <c r="A28" s="7">
        <f t="shared" si="2"/>
        <v>296</v>
      </c>
      <c r="D28" s="8">
        <f t="shared" si="0"/>
        <v>2548</v>
      </c>
      <c r="E28" s="1">
        <v>1274</v>
      </c>
      <c r="F28" s="11">
        <f>IF(C28=0, Parametri!$D$8, ABS(B28-C28)/(2*SQRT(3)))</f>
        <v>0.11547005383792516</v>
      </c>
      <c r="G28" s="1">
        <f>(A28-335)+135.8+(Parametri!$A$5/2)</f>
        <v>96.800000000000011</v>
      </c>
      <c r="H28" s="1">
        <f>(E28-192)-('Dati (2)'!A28-Parametri!$A$11)+Parametri!$A$2</f>
        <v>786</v>
      </c>
      <c r="I28" s="1">
        <f t="shared" si="1"/>
        <v>0.11547005383792516</v>
      </c>
      <c r="J28" s="1">
        <f>Parametri!$D$8</f>
        <v>0.11547005383792516</v>
      </c>
    </row>
    <row r="29" spans="1:10" ht="17.25" customHeight="1" x14ac:dyDescent="0.3">
      <c r="A29" s="7">
        <f t="shared" si="2"/>
        <v>297</v>
      </c>
      <c r="D29" s="8">
        <f t="shared" si="0"/>
        <v>2520</v>
      </c>
      <c r="E29" s="1">
        <v>1260</v>
      </c>
      <c r="F29" s="11">
        <f>IF(C29=0, Parametri!$D$8, ABS(B29-C29)/(2*SQRT(3)))</f>
        <v>0.11547005383792516</v>
      </c>
      <c r="G29" s="1">
        <f>(A29-335)+135.8+(Parametri!$A$5/2)</f>
        <v>97.800000000000011</v>
      </c>
      <c r="H29" s="1">
        <f>(E29-192)-('Dati (2)'!A29-Parametri!$A$11)+Parametri!$A$2</f>
        <v>771</v>
      </c>
      <c r="I29" s="1">
        <f t="shared" si="1"/>
        <v>0.11547005383792516</v>
      </c>
      <c r="J29" s="1">
        <f>Parametri!$D$8</f>
        <v>0.11547005383792516</v>
      </c>
    </row>
    <row r="30" spans="1:10" ht="17.25" customHeight="1" x14ac:dyDescent="0.3">
      <c r="A30" s="7">
        <f t="shared" si="2"/>
        <v>298</v>
      </c>
      <c r="D30" s="8">
        <f t="shared" si="0"/>
        <v>2491</v>
      </c>
      <c r="E30" s="1">
        <v>1245.5</v>
      </c>
      <c r="F30" s="11">
        <f>IF(C30=0, Parametri!$D$8, ABS(B30-C30)/(2*SQRT(3)))</f>
        <v>0.11547005383792516</v>
      </c>
      <c r="G30" s="1">
        <f>(A30-335)+135.8+(Parametri!$A$5/2)</f>
        <v>98.800000000000011</v>
      </c>
      <c r="H30" s="1">
        <f>(E30-192)-('Dati (2)'!A30-Parametri!$A$11)+Parametri!$A$2</f>
        <v>755.5</v>
      </c>
      <c r="I30" s="1">
        <f t="shared" si="1"/>
        <v>0.11547005383792516</v>
      </c>
      <c r="J30" s="1">
        <f>Parametri!$D$8</f>
        <v>0.11547005383792516</v>
      </c>
    </row>
    <row r="31" spans="1:10" ht="17.25" customHeight="1" x14ac:dyDescent="0.3">
      <c r="A31" s="7">
        <f t="shared" si="2"/>
        <v>299</v>
      </c>
      <c r="D31" s="8">
        <f t="shared" si="0"/>
        <v>2464</v>
      </c>
      <c r="E31" s="1">
        <v>1232</v>
      </c>
      <c r="F31" s="11">
        <f>IF(C31=0, Parametri!$D$8, ABS(B31-C31)/(2*SQRT(3)))</f>
        <v>0.11547005383792516</v>
      </c>
      <c r="G31" s="1">
        <f>(A31-335)+135.8+(Parametri!$A$5/2)</f>
        <v>99.800000000000011</v>
      </c>
      <c r="H31" s="1">
        <f>(E31-192)-('Dati (2)'!A31-Parametri!$A$11)+Parametri!$A$2</f>
        <v>741</v>
      </c>
      <c r="I31" s="1">
        <f t="shared" si="1"/>
        <v>0.11547005383792516</v>
      </c>
      <c r="J31" s="1">
        <f>Parametri!$D$8</f>
        <v>0.11547005383792516</v>
      </c>
    </row>
    <row r="32" spans="1:10" ht="17.25" customHeight="1" x14ac:dyDescent="0.3">
      <c r="A32" s="7">
        <f t="shared" si="2"/>
        <v>300</v>
      </c>
      <c r="D32" s="8">
        <f t="shared" si="0"/>
        <v>2427</v>
      </c>
      <c r="E32" s="1">
        <v>1213.5</v>
      </c>
      <c r="F32" s="11">
        <f>IF(C32=0, Parametri!$D$8, ABS(B32-C32)/(2*SQRT(3)))</f>
        <v>0.11547005383792516</v>
      </c>
      <c r="G32" s="1">
        <f>(A32-335)+135.8+(Parametri!$A$5/2)</f>
        <v>100.80000000000001</v>
      </c>
      <c r="H32" s="1">
        <f>(E32-192)-('Dati (2)'!A32-Parametri!$A$11)+Parametri!$A$2</f>
        <v>721.5</v>
      </c>
      <c r="I32" s="1">
        <f t="shared" si="1"/>
        <v>0.11547005383792516</v>
      </c>
      <c r="J32" s="1">
        <f>Parametri!$D$8</f>
        <v>0.11547005383792516</v>
      </c>
    </row>
    <row r="33" spans="1:10" ht="17.25" customHeight="1" x14ac:dyDescent="0.3">
      <c r="A33" s="7">
        <f t="shared" si="2"/>
        <v>301</v>
      </c>
      <c r="D33" s="8">
        <f t="shared" si="0"/>
        <v>2419</v>
      </c>
      <c r="E33" s="1">
        <v>1209.5</v>
      </c>
      <c r="F33" s="11">
        <f>IF(C33=0, Parametri!$D$8, ABS(B33-C33)/(2*SQRT(3)))</f>
        <v>0.11547005383792516</v>
      </c>
      <c r="G33" s="1">
        <f>(A33-335)+135.8+(Parametri!$A$5/2)</f>
        <v>101.80000000000001</v>
      </c>
      <c r="H33" s="1">
        <f>(E33-192)-('Dati (2)'!A33-Parametri!$A$11)+Parametri!$A$2</f>
        <v>716.5</v>
      </c>
      <c r="I33" s="1">
        <f t="shared" si="1"/>
        <v>0.11547005383792516</v>
      </c>
      <c r="J33" s="1">
        <f>Parametri!$D$8</f>
        <v>0.11547005383792516</v>
      </c>
    </row>
    <row r="34" spans="1:10" ht="17.25" customHeight="1" x14ac:dyDescent="0.3">
      <c r="A34" s="7">
        <f t="shared" si="2"/>
        <v>302</v>
      </c>
      <c r="D34" s="8">
        <f t="shared" ref="D34:D65" si="3">B34+2*E34</f>
        <v>2398</v>
      </c>
      <c r="E34" s="1">
        <v>1199</v>
      </c>
      <c r="F34" s="11">
        <f>IF(C34=0, Parametri!$D$8, ABS(B34-C34)/(2*SQRT(3)))</f>
        <v>0.11547005383792516</v>
      </c>
      <c r="G34" s="1">
        <f>(A34-335)+135.8+(Parametri!$A$5/2)</f>
        <v>102.80000000000001</v>
      </c>
      <c r="H34" s="1">
        <f>(E34-192)-('Dati (2)'!A34-Parametri!$A$11)+Parametri!$A$2</f>
        <v>705</v>
      </c>
      <c r="I34" s="1">
        <f t="shared" ref="I34:I65" si="4">F34</f>
        <v>0.11547005383792516</v>
      </c>
      <c r="J34" s="1">
        <f>Parametri!$D$8</f>
        <v>0.11547005383792516</v>
      </c>
    </row>
    <row r="35" spans="1:10" ht="17.25" customHeight="1" x14ac:dyDescent="0.3">
      <c r="A35" s="7">
        <f t="shared" si="2"/>
        <v>303</v>
      </c>
      <c r="D35" s="8">
        <f t="shared" si="3"/>
        <v>2376</v>
      </c>
      <c r="E35" s="1">
        <v>1188</v>
      </c>
      <c r="F35" s="11">
        <f>IF(C35=0, Parametri!$D$8, ABS(B35-C35)/(2*SQRT(3)))</f>
        <v>0.11547005383792516</v>
      </c>
      <c r="G35" s="1">
        <f>(A35-335)+135.8+(Parametri!$A$5/2)</f>
        <v>103.80000000000001</v>
      </c>
      <c r="H35" s="1">
        <f>(E35-192)-('Dati (2)'!A35-Parametri!$A$11)+Parametri!$A$2</f>
        <v>693</v>
      </c>
      <c r="I35" s="1">
        <f t="shared" si="4"/>
        <v>0.11547005383792516</v>
      </c>
      <c r="J35" s="1">
        <f>Parametri!$D$8</f>
        <v>0.11547005383792516</v>
      </c>
    </row>
    <row r="36" spans="1:10" ht="17.25" customHeight="1" x14ac:dyDescent="0.3">
      <c r="A36" s="7">
        <f t="shared" si="2"/>
        <v>304</v>
      </c>
      <c r="D36" s="8">
        <f t="shared" si="3"/>
        <v>2357</v>
      </c>
      <c r="E36" s="1">
        <v>1178.5</v>
      </c>
      <c r="F36" s="11">
        <f>IF(C36=0, Parametri!$D$8, ABS(B36-C36)/(2*SQRT(3)))</f>
        <v>0.11547005383792516</v>
      </c>
      <c r="G36" s="1">
        <f>(A36-335)+135.8+(Parametri!$A$5/2)</f>
        <v>104.80000000000001</v>
      </c>
      <c r="H36" s="1">
        <f>(E36-192)-('Dati (2)'!A36-Parametri!$A$11)+Parametri!$A$2</f>
        <v>682.5</v>
      </c>
      <c r="I36" s="1">
        <f t="shared" si="4"/>
        <v>0.11547005383792516</v>
      </c>
      <c r="J36" s="1">
        <f>Parametri!$D$8</f>
        <v>0.11547005383792516</v>
      </c>
    </row>
    <row r="37" spans="1:10" ht="17.25" customHeight="1" x14ac:dyDescent="0.3">
      <c r="A37" s="7">
        <f t="shared" si="2"/>
        <v>305</v>
      </c>
      <c r="D37" s="8">
        <f t="shared" si="3"/>
        <v>2333</v>
      </c>
      <c r="E37" s="1">
        <v>1166.5</v>
      </c>
      <c r="F37" s="11">
        <f>IF(C37=0, Parametri!$D$8, ABS(B37-C37)/(2*SQRT(3)))</f>
        <v>0.11547005383792516</v>
      </c>
      <c r="G37" s="1">
        <f>(A37-335)+135.8+(Parametri!$A$5/2)</f>
        <v>105.80000000000001</v>
      </c>
      <c r="H37" s="1">
        <f>(E37-192)-('Dati (2)'!A37-Parametri!$A$11)+Parametri!$A$2</f>
        <v>669.5</v>
      </c>
      <c r="I37" s="1">
        <f t="shared" si="4"/>
        <v>0.11547005383792516</v>
      </c>
      <c r="J37" s="1">
        <f>Parametri!$D$8</f>
        <v>0.11547005383792516</v>
      </c>
    </row>
    <row r="38" spans="1:10" ht="17.25" customHeight="1" x14ac:dyDescent="0.3">
      <c r="A38" s="7">
        <f t="shared" si="2"/>
        <v>306</v>
      </c>
      <c r="D38" s="8">
        <f t="shared" si="3"/>
        <v>2311</v>
      </c>
      <c r="E38" s="1">
        <v>1155.5</v>
      </c>
      <c r="F38" s="11">
        <f>IF(C38=0, Parametri!$D$8, ABS(B38-C38)/(2*SQRT(3)))</f>
        <v>0.11547005383792516</v>
      </c>
      <c r="G38" s="1">
        <f>(A38-335)+135.8+(Parametri!$A$5/2)</f>
        <v>106.80000000000001</v>
      </c>
      <c r="H38" s="1">
        <f>(E38-192)-('Dati (2)'!A38-Parametri!$A$11)+Parametri!$A$2</f>
        <v>657.5</v>
      </c>
      <c r="I38" s="1">
        <f t="shared" si="4"/>
        <v>0.11547005383792516</v>
      </c>
      <c r="J38" s="1">
        <f>Parametri!$D$8</f>
        <v>0.11547005383792516</v>
      </c>
    </row>
    <row r="39" spans="1:10" ht="17.25" customHeight="1" x14ac:dyDescent="0.3">
      <c r="A39" s="7">
        <f t="shared" si="2"/>
        <v>307</v>
      </c>
      <c r="D39" s="8">
        <f t="shared" si="3"/>
        <v>2282</v>
      </c>
      <c r="E39" s="1">
        <v>1141</v>
      </c>
      <c r="F39" s="11">
        <f>IF(C39=0, Parametri!$D$8, ABS(B39-C39)/(2*SQRT(3)))</f>
        <v>0.11547005383792516</v>
      </c>
      <c r="G39" s="1">
        <f>(A39-335)+135.8+(Parametri!$A$5/2)</f>
        <v>107.80000000000001</v>
      </c>
      <c r="H39" s="1">
        <f>(E39-192)-('Dati (2)'!A39-Parametri!$A$11)+Parametri!$A$2</f>
        <v>642</v>
      </c>
      <c r="I39" s="1">
        <f t="shared" si="4"/>
        <v>0.11547005383792516</v>
      </c>
      <c r="J39" s="1">
        <f>Parametri!$D$8</f>
        <v>0.11547005383792516</v>
      </c>
    </row>
    <row r="40" spans="1:10" ht="17.25" customHeight="1" x14ac:dyDescent="0.3">
      <c r="A40" s="7">
        <f t="shared" si="2"/>
        <v>308</v>
      </c>
      <c r="D40" s="8">
        <f t="shared" si="3"/>
        <v>2277</v>
      </c>
      <c r="E40" s="1">
        <v>1138.5</v>
      </c>
      <c r="F40" s="11">
        <f>IF(C40=0, Parametri!$D$8, ABS(B40-C40)/(2*SQRT(3)))</f>
        <v>0.11547005383792516</v>
      </c>
      <c r="G40" s="1">
        <f>(A40-335)+135.8+(Parametri!$A$5/2)</f>
        <v>108.80000000000001</v>
      </c>
      <c r="H40" s="1">
        <f>(E40-192)-('Dati (2)'!A40-Parametri!$A$11)+Parametri!$A$2</f>
        <v>638.5</v>
      </c>
      <c r="I40" s="1">
        <f t="shared" si="4"/>
        <v>0.11547005383792516</v>
      </c>
      <c r="J40" s="1">
        <f>Parametri!$D$8</f>
        <v>0.11547005383792516</v>
      </c>
    </row>
    <row r="41" spans="1:10" ht="17.25" customHeight="1" x14ac:dyDescent="0.3">
      <c r="A41" s="7">
        <f t="shared" si="2"/>
        <v>309</v>
      </c>
      <c r="D41" s="8">
        <f t="shared" si="3"/>
        <v>2256</v>
      </c>
      <c r="E41" s="1">
        <v>1128</v>
      </c>
      <c r="F41" s="11">
        <f>IF(C41=0, Parametri!$D$8, ABS(B41-C41)/(2*SQRT(3)))</f>
        <v>0.11547005383792516</v>
      </c>
      <c r="G41" s="1">
        <f>(A41-335)+135.8+(Parametri!$A$5/2)</f>
        <v>109.80000000000001</v>
      </c>
      <c r="H41" s="1">
        <f>(E41-192)-('Dati (2)'!A41-Parametri!$A$11)+Parametri!$A$2</f>
        <v>627</v>
      </c>
      <c r="I41" s="1">
        <f t="shared" si="4"/>
        <v>0.11547005383792516</v>
      </c>
      <c r="J41" s="1">
        <f>Parametri!$D$8</f>
        <v>0.11547005383792516</v>
      </c>
    </row>
    <row r="42" spans="1:10" ht="17.25" customHeight="1" x14ac:dyDescent="0.3">
      <c r="A42" s="7">
        <f t="shared" si="2"/>
        <v>310</v>
      </c>
      <c r="D42" s="8">
        <f t="shared" si="3"/>
        <v>2232</v>
      </c>
      <c r="E42" s="1">
        <v>1116</v>
      </c>
      <c r="F42" s="11">
        <f>IF(C42=0, Parametri!$D$8, ABS(B42-C42)/(2*SQRT(3)))</f>
        <v>0.11547005383792516</v>
      </c>
      <c r="G42" s="1">
        <f>(A42-335)+135.8+(Parametri!$A$5/2)</f>
        <v>110.80000000000001</v>
      </c>
      <c r="H42" s="1">
        <f>(E42-192)-('Dati (2)'!A42-Parametri!$A$11)+Parametri!$A$2</f>
        <v>614</v>
      </c>
      <c r="I42" s="1">
        <f t="shared" si="4"/>
        <v>0.11547005383792516</v>
      </c>
      <c r="J42" s="1">
        <f>Parametri!$D$8</f>
        <v>0.11547005383792516</v>
      </c>
    </row>
    <row r="43" spans="1:10" ht="17.25" customHeight="1" x14ac:dyDescent="0.3">
      <c r="A43" s="7">
        <f t="shared" si="2"/>
        <v>311</v>
      </c>
      <c r="D43" s="8">
        <f t="shared" si="3"/>
        <v>2220</v>
      </c>
      <c r="E43" s="1">
        <v>1110</v>
      </c>
      <c r="F43" s="11">
        <f>IF(C43=0, Parametri!$D$8, ABS(B43-C43)/(2*SQRT(3)))</f>
        <v>0.11547005383792516</v>
      </c>
      <c r="G43" s="1">
        <f>(A43-335)+135.8+(Parametri!$A$5/2)</f>
        <v>111.80000000000001</v>
      </c>
      <c r="H43" s="1">
        <f>(E43-192)-('Dati (2)'!A43-Parametri!$A$11)+Parametri!$A$2</f>
        <v>607</v>
      </c>
      <c r="I43" s="1">
        <f t="shared" si="4"/>
        <v>0.11547005383792516</v>
      </c>
      <c r="J43" s="1">
        <f>Parametri!$D$8</f>
        <v>0.11547005383792516</v>
      </c>
    </row>
    <row r="44" spans="1:10" ht="17.25" customHeight="1" x14ac:dyDescent="0.3">
      <c r="A44" s="7">
        <f t="shared" si="2"/>
        <v>312</v>
      </c>
      <c r="D44" s="8">
        <f t="shared" si="3"/>
        <v>2195</v>
      </c>
      <c r="E44" s="1">
        <v>1097.5</v>
      </c>
      <c r="F44" s="11">
        <f>IF(C44=0, Parametri!$D$8, ABS(B44-C44)/(2*SQRT(3)))</f>
        <v>0.11547005383792516</v>
      </c>
      <c r="G44" s="1">
        <f>(A44-335)+135.8+(Parametri!$A$5/2)</f>
        <v>112.80000000000001</v>
      </c>
      <c r="H44" s="1">
        <f>(E44-192)-('Dati (2)'!A44-Parametri!$A$11)+Parametri!$A$2</f>
        <v>593.5</v>
      </c>
      <c r="I44" s="1">
        <f t="shared" si="4"/>
        <v>0.11547005383792516</v>
      </c>
      <c r="J44" s="1">
        <f>Parametri!$D$8</f>
        <v>0.11547005383792516</v>
      </c>
    </row>
    <row r="45" spans="1:10" ht="17.25" customHeight="1" x14ac:dyDescent="0.3">
      <c r="A45" s="7">
        <f t="shared" si="2"/>
        <v>313</v>
      </c>
      <c r="D45" s="8">
        <f t="shared" si="3"/>
        <v>2185</v>
      </c>
      <c r="E45" s="1">
        <v>1092.5</v>
      </c>
      <c r="F45" s="11">
        <f>IF(C45=0, Parametri!$D$8, ABS(B45-C45)/(2*SQRT(3)))</f>
        <v>0.11547005383792516</v>
      </c>
      <c r="G45" s="1">
        <f>(A45-335)+135.8+(Parametri!$A$5/2)</f>
        <v>113.80000000000001</v>
      </c>
      <c r="H45" s="1">
        <f>(E45-192)-('Dati (2)'!A45-Parametri!$A$11)+Parametri!$A$2</f>
        <v>587.5</v>
      </c>
      <c r="I45" s="1">
        <f t="shared" si="4"/>
        <v>0.11547005383792516</v>
      </c>
      <c r="J45" s="1">
        <f>Parametri!$D$8</f>
        <v>0.11547005383792516</v>
      </c>
    </row>
    <row r="46" spans="1:10" ht="17.25" customHeight="1" x14ac:dyDescent="0.3">
      <c r="A46" s="7">
        <f t="shared" si="2"/>
        <v>314</v>
      </c>
      <c r="D46" s="8">
        <f t="shared" si="3"/>
        <v>2173</v>
      </c>
      <c r="E46" s="1">
        <v>1086.5</v>
      </c>
      <c r="F46" s="11">
        <f>IF(C46=0, Parametri!$D$8, ABS(B46-C46)/(2*SQRT(3)))</f>
        <v>0.11547005383792516</v>
      </c>
      <c r="G46" s="1">
        <f>(A46-335)+135.8+(Parametri!$A$5/2)</f>
        <v>114.80000000000001</v>
      </c>
      <c r="H46" s="1">
        <f>(E46-192)-('Dati (2)'!A46-Parametri!$A$11)+Parametri!$A$2</f>
        <v>580.5</v>
      </c>
      <c r="I46" s="1">
        <f t="shared" si="4"/>
        <v>0.11547005383792516</v>
      </c>
      <c r="J46" s="1">
        <f>Parametri!$D$8</f>
        <v>0.11547005383792516</v>
      </c>
    </row>
    <row r="47" spans="1:10" ht="17.25" customHeight="1" x14ac:dyDescent="0.3">
      <c r="A47" s="7">
        <f t="shared" si="2"/>
        <v>315</v>
      </c>
      <c r="D47" s="8">
        <f t="shared" si="3"/>
        <v>2150</v>
      </c>
      <c r="E47" s="1">
        <v>1075</v>
      </c>
      <c r="F47" s="11">
        <f>IF(C47=0, Parametri!$D$8, ABS(B47-C47)/(2*SQRT(3)))</f>
        <v>0.11547005383792516</v>
      </c>
      <c r="G47" s="1">
        <f>(A47-335)+135.8+(Parametri!$A$5/2)</f>
        <v>115.80000000000001</v>
      </c>
      <c r="H47" s="1">
        <f>(E47-192)-('Dati (2)'!A47-Parametri!$A$11)+Parametri!$A$2</f>
        <v>568</v>
      </c>
      <c r="I47" s="1">
        <f t="shared" si="4"/>
        <v>0.11547005383792516</v>
      </c>
      <c r="J47" s="1">
        <f>Parametri!$D$8</f>
        <v>0.11547005383792516</v>
      </c>
    </row>
    <row r="48" spans="1:10" ht="17.25" customHeight="1" x14ac:dyDescent="0.3">
      <c r="A48" s="7">
        <f t="shared" ref="A48:A65" si="5">A47+2</f>
        <v>317</v>
      </c>
      <c r="D48" s="8">
        <f t="shared" si="3"/>
        <v>2126</v>
      </c>
      <c r="E48" s="1">
        <v>1063</v>
      </c>
      <c r="F48" s="11">
        <f>IF(C48=0, Parametri!$D$8, ABS(B48-C48)/(2*SQRT(3)))</f>
        <v>0.11547005383792516</v>
      </c>
      <c r="G48" s="1">
        <f>(A48-335)+135.8+(Parametri!$A$5/2)</f>
        <v>117.80000000000001</v>
      </c>
      <c r="H48" s="1">
        <f>(E48-192)-('Dati (2)'!A48-Parametri!$A$11)+Parametri!$A$2</f>
        <v>554</v>
      </c>
      <c r="I48" s="1">
        <f t="shared" si="4"/>
        <v>0.11547005383792516</v>
      </c>
      <c r="J48" s="1">
        <f>Parametri!$D$8</f>
        <v>0.11547005383792516</v>
      </c>
    </row>
    <row r="49" spans="1:10" ht="17.25" customHeight="1" x14ac:dyDescent="0.3">
      <c r="A49" s="7">
        <f t="shared" si="5"/>
        <v>319</v>
      </c>
      <c r="D49" s="8">
        <f t="shared" si="3"/>
        <v>2085</v>
      </c>
      <c r="E49" s="1">
        <v>1042.5</v>
      </c>
      <c r="F49" s="11">
        <f>IF(C49=0, Parametri!$D$8, ABS(B49-C49)/(2*SQRT(3)))</f>
        <v>0.11547005383792516</v>
      </c>
      <c r="G49" s="1">
        <f>(A49-335)+135.8+(Parametri!$A$5/2)</f>
        <v>119.80000000000001</v>
      </c>
      <c r="H49" s="1">
        <f>(E49-192)-('Dati (2)'!A49-Parametri!$A$11)+Parametri!$A$2</f>
        <v>531.5</v>
      </c>
      <c r="I49" s="1">
        <f t="shared" si="4"/>
        <v>0.11547005383792516</v>
      </c>
      <c r="J49" s="1">
        <f>Parametri!$D$8</f>
        <v>0.11547005383792516</v>
      </c>
    </row>
    <row r="50" spans="1:10" ht="17.25" customHeight="1" x14ac:dyDescent="0.3">
      <c r="A50" s="7">
        <f t="shared" si="5"/>
        <v>321</v>
      </c>
      <c r="D50" s="8">
        <f t="shared" si="3"/>
        <v>2068</v>
      </c>
      <c r="E50" s="1">
        <v>1034</v>
      </c>
      <c r="F50" s="11">
        <f>IF(C50=0, Parametri!$D$8, ABS(B50-C50)/(2*SQRT(3)))</f>
        <v>0.11547005383792516</v>
      </c>
      <c r="G50" s="1">
        <f>(A50-335)+135.8+(Parametri!$A$5/2)</f>
        <v>121.80000000000001</v>
      </c>
      <c r="H50" s="1">
        <f>(E50-192)-('Dati (2)'!A50-Parametri!$A$11)+Parametri!$A$2</f>
        <v>521</v>
      </c>
      <c r="I50" s="1">
        <f t="shared" si="4"/>
        <v>0.11547005383792516</v>
      </c>
      <c r="J50" s="1">
        <f>Parametri!$D$8</f>
        <v>0.11547005383792516</v>
      </c>
    </row>
    <row r="51" spans="1:10" ht="17.25" customHeight="1" x14ac:dyDescent="0.3">
      <c r="A51" s="7">
        <f t="shared" si="5"/>
        <v>323</v>
      </c>
      <c r="D51" s="8">
        <f t="shared" si="3"/>
        <v>2055</v>
      </c>
      <c r="E51" s="1">
        <v>1027.5</v>
      </c>
      <c r="F51" s="11">
        <f>IF(C51=0, Parametri!$D$8, ABS(B51-C51)/(2*SQRT(3)))</f>
        <v>0.11547005383792516</v>
      </c>
      <c r="G51" s="1">
        <f>(A51-335)+135.8+(Parametri!$A$5/2)</f>
        <v>123.80000000000001</v>
      </c>
      <c r="H51" s="1">
        <f>(E51-192)-('Dati (2)'!A51-Parametri!$A$11)+Parametri!$A$2</f>
        <v>512.5</v>
      </c>
      <c r="I51" s="1">
        <f t="shared" si="4"/>
        <v>0.11547005383792516</v>
      </c>
      <c r="J51" s="1">
        <f>Parametri!$D$8</f>
        <v>0.11547005383792516</v>
      </c>
    </row>
    <row r="52" spans="1:10" ht="17.25" customHeight="1" x14ac:dyDescent="0.3">
      <c r="A52" s="7">
        <f t="shared" si="5"/>
        <v>325</v>
      </c>
      <c r="D52" s="8">
        <f t="shared" si="3"/>
        <v>2020</v>
      </c>
      <c r="E52" s="1">
        <v>1010</v>
      </c>
      <c r="F52" s="11">
        <f>IF(C52=0, Parametri!$D$8, ABS(B52-C52)/(2*SQRT(3)))</f>
        <v>0.11547005383792516</v>
      </c>
      <c r="G52" s="1">
        <f>(A52-335)+135.8+(Parametri!$A$5/2)</f>
        <v>125.80000000000001</v>
      </c>
      <c r="H52" s="1">
        <f>(E52-192)-('Dati (2)'!A52-Parametri!$A$11)+Parametri!$A$2</f>
        <v>493</v>
      </c>
      <c r="I52" s="1">
        <f t="shared" si="4"/>
        <v>0.11547005383792516</v>
      </c>
      <c r="J52" s="1">
        <f>Parametri!$D$8</f>
        <v>0.11547005383792516</v>
      </c>
    </row>
    <row r="53" spans="1:10" ht="17.25" customHeight="1" x14ac:dyDescent="0.3">
      <c r="A53" s="7">
        <f t="shared" si="5"/>
        <v>327</v>
      </c>
      <c r="D53" s="8">
        <f t="shared" si="3"/>
        <v>1999</v>
      </c>
      <c r="E53" s="1">
        <v>999.5</v>
      </c>
      <c r="F53" s="11">
        <f>IF(C53=0, Parametri!$D$8, ABS(B53-C53)/(2*SQRT(3)))</f>
        <v>0.11547005383792516</v>
      </c>
      <c r="G53" s="1">
        <f>(A53-335)+135.8+(Parametri!$A$5/2)</f>
        <v>127.80000000000001</v>
      </c>
      <c r="H53" s="1">
        <f>(E53-192)-('Dati (2)'!A53-Parametri!$A$11)+Parametri!$A$2</f>
        <v>480.5</v>
      </c>
      <c r="I53" s="1">
        <f t="shared" si="4"/>
        <v>0.11547005383792516</v>
      </c>
      <c r="J53" s="1">
        <f>Parametri!$D$8</f>
        <v>0.11547005383792516</v>
      </c>
    </row>
    <row r="54" spans="1:10" ht="17.25" customHeight="1" x14ac:dyDescent="0.3">
      <c r="A54" s="7">
        <f t="shared" si="5"/>
        <v>329</v>
      </c>
      <c r="D54" s="8">
        <f t="shared" si="3"/>
        <v>1975</v>
      </c>
      <c r="E54" s="1">
        <v>987.5</v>
      </c>
      <c r="F54" s="11">
        <f>IF(C54=0, Parametri!$D$8, ABS(B54-C54)/(2*SQRT(3)))</f>
        <v>0.11547005383792516</v>
      </c>
      <c r="G54" s="1">
        <f>(A54-335)+135.8+(Parametri!$A$5/2)</f>
        <v>129.80000000000001</v>
      </c>
      <c r="H54" s="1">
        <f>(E54-192)-('Dati (2)'!A54-Parametri!$A$11)+Parametri!$A$2</f>
        <v>466.5</v>
      </c>
      <c r="I54" s="1">
        <f t="shared" si="4"/>
        <v>0.11547005383792516</v>
      </c>
      <c r="J54" s="1">
        <f>Parametri!$D$8</f>
        <v>0.11547005383792516</v>
      </c>
    </row>
    <row r="55" spans="1:10" ht="17.25" customHeight="1" x14ac:dyDescent="0.3">
      <c r="A55" s="7">
        <f t="shared" si="5"/>
        <v>331</v>
      </c>
      <c r="D55" s="8">
        <f t="shared" si="3"/>
        <v>1961</v>
      </c>
      <c r="E55" s="1">
        <v>980.5</v>
      </c>
      <c r="F55" s="11">
        <f>IF(C55=0, Parametri!$D$8, ABS(B55-C55)/(2*SQRT(3)))</f>
        <v>0.11547005383792516</v>
      </c>
      <c r="G55" s="1">
        <f>(A55-335)+135.8+(Parametri!$A$5/2)</f>
        <v>131.80000000000001</v>
      </c>
      <c r="H55" s="1">
        <f>(E55-192)-('Dati (2)'!A55-Parametri!$A$11)+Parametri!$A$2</f>
        <v>457.5</v>
      </c>
      <c r="I55" s="1">
        <f t="shared" si="4"/>
        <v>0.11547005383792516</v>
      </c>
      <c r="J55" s="1">
        <f>Parametri!$D$8</f>
        <v>0.11547005383792516</v>
      </c>
    </row>
    <row r="56" spans="1:10" ht="17.25" customHeight="1" x14ac:dyDescent="0.3">
      <c r="A56" s="7">
        <f t="shared" si="5"/>
        <v>333</v>
      </c>
      <c r="D56" s="8">
        <f t="shared" si="3"/>
        <v>1940</v>
      </c>
      <c r="E56" s="1">
        <v>970</v>
      </c>
      <c r="F56" s="11">
        <f>IF(C56=0, Parametri!$D$8, ABS(B56-C56)/(2*SQRT(3)))</f>
        <v>0.11547005383792516</v>
      </c>
      <c r="G56" s="1">
        <f>(A56-335)+135.8+(Parametri!$A$5/2)</f>
        <v>133.80000000000001</v>
      </c>
      <c r="H56" s="1">
        <f>(E56-192)-('Dati (2)'!A56-Parametri!$A$11)+Parametri!$A$2</f>
        <v>445</v>
      </c>
      <c r="I56" s="1">
        <f t="shared" si="4"/>
        <v>0.11547005383792516</v>
      </c>
      <c r="J56" s="1">
        <f>Parametri!$D$8</f>
        <v>0.11547005383792516</v>
      </c>
    </row>
    <row r="57" spans="1:10" ht="17.25" customHeight="1" x14ac:dyDescent="0.3">
      <c r="A57" s="7">
        <f t="shared" si="5"/>
        <v>335</v>
      </c>
      <c r="D57" s="8">
        <f t="shared" si="3"/>
        <v>1910</v>
      </c>
      <c r="E57" s="1">
        <v>955</v>
      </c>
      <c r="F57" s="11">
        <f>IF(C57=0, Parametri!$D$8, ABS(B57-C57)/(2*SQRT(3)))</f>
        <v>0.11547005383792516</v>
      </c>
      <c r="G57" s="1">
        <f>(A57-335)+135.8+(Parametri!$A$5/2)</f>
        <v>135.80000000000001</v>
      </c>
      <c r="H57" s="1">
        <f>(E57-192)-('Dati (2)'!A57-Parametri!$A$11)+Parametri!$A$2</f>
        <v>428</v>
      </c>
      <c r="I57" s="1">
        <f t="shared" si="4"/>
        <v>0.11547005383792516</v>
      </c>
      <c r="J57" s="1">
        <f>Parametri!$D$8</f>
        <v>0.11547005383792516</v>
      </c>
    </row>
    <row r="58" spans="1:10" ht="17.25" customHeight="1" x14ac:dyDescent="0.3">
      <c r="A58" s="7">
        <f t="shared" si="5"/>
        <v>337</v>
      </c>
      <c r="D58" s="8">
        <f t="shared" si="3"/>
        <v>1891</v>
      </c>
      <c r="E58" s="1">
        <v>945.5</v>
      </c>
      <c r="F58" s="11">
        <f>IF(C58=0, Parametri!$D$8, ABS(B58-C58)/(2*SQRT(3)))</f>
        <v>0.11547005383792516</v>
      </c>
      <c r="G58" s="1">
        <f>(A58-335)+135.8+(Parametri!$A$5/2)</f>
        <v>137.80000000000001</v>
      </c>
      <c r="H58" s="1">
        <f>(E58-192)-('Dati (2)'!A58-Parametri!$A$11)+Parametri!$A$2</f>
        <v>416.5</v>
      </c>
      <c r="I58" s="1">
        <f t="shared" si="4"/>
        <v>0.11547005383792516</v>
      </c>
      <c r="J58" s="1">
        <f>Parametri!$D$8</f>
        <v>0.11547005383792516</v>
      </c>
    </row>
    <row r="59" spans="1:10" ht="17.25" customHeight="1" x14ac:dyDescent="0.3">
      <c r="A59" s="7">
        <f t="shared" si="5"/>
        <v>339</v>
      </c>
      <c r="D59" s="8">
        <f t="shared" si="3"/>
        <v>1887</v>
      </c>
      <c r="E59" s="1">
        <v>943.5</v>
      </c>
      <c r="F59" s="11">
        <f>IF(C59=0, Parametri!$D$8, ABS(B59-C59)/(2*SQRT(3)))</f>
        <v>0.11547005383792516</v>
      </c>
      <c r="G59" s="1">
        <f>(A59-335)+135.8+(Parametri!$A$5/2)</f>
        <v>139.80000000000001</v>
      </c>
      <c r="H59" s="1">
        <f>(E59-192)-('Dati (2)'!A59-Parametri!$A$11)+Parametri!$A$2</f>
        <v>412.5</v>
      </c>
      <c r="I59" s="1">
        <f t="shared" si="4"/>
        <v>0.11547005383792516</v>
      </c>
      <c r="J59" s="1">
        <f>Parametri!$D$8</f>
        <v>0.11547005383792516</v>
      </c>
    </row>
    <row r="60" spans="1:10" ht="17.25" customHeight="1" x14ac:dyDescent="0.3">
      <c r="A60" s="7">
        <f t="shared" si="5"/>
        <v>341</v>
      </c>
      <c r="D60" s="8">
        <f t="shared" si="3"/>
        <v>1867</v>
      </c>
      <c r="E60" s="1">
        <v>933.5</v>
      </c>
      <c r="F60" s="11">
        <f>IF(C60=0, Parametri!$D$8, ABS(B60-C60)/(2*SQRT(3)))</f>
        <v>0.11547005383792516</v>
      </c>
      <c r="G60" s="1">
        <f>(A60-335)+135.8+(Parametri!$A$5/2)</f>
        <v>141.80000000000001</v>
      </c>
      <c r="H60" s="1">
        <f>(E60-192)-('Dati (2)'!A60-Parametri!$A$11)+Parametri!$A$2</f>
        <v>400.5</v>
      </c>
      <c r="I60" s="1">
        <f t="shared" si="4"/>
        <v>0.11547005383792516</v>
      </c>
      <c r="J60" s="1">
        <f>Parametri!$D$8</f>
        <v>0.11547005383792516</v>
      </c>
    </row>
    <row r="61" spans="1:10" ht="17.25" customHeight="1" x14ac:dyDescent="0.3">
      <c r="A61" s="7">
        <f t="shared" si="5"/>
        <v>343</v>
      </c>
      <c r="D61" s="8">
        <f t="shared" si="3"/>
        <v>1862</v>
      </c>
      <c r="E61" s="1">
        <v>931</v>
      </c>
      <c r="F61" s="11">
        <f>IF(C61=0, Parametri!$D$8, ABS(B61-C61)/(2*SQRT(3)))</f>
        <v>0.11547005383792516</v>
      </c>
      <c r="G61" s="1">
        <f>(A61-335)+135.8+(Parametri!$A$5/2)</f>
        <v>143.80000000000001</v>
      </c>
      <c r="H61" s="1">
        <f>(E61-192)-('Dati (2)'!A61-Parametri!$A$11)+Parametri!$A$2</f>
        <v>396</v>
      </c>
      <c r="I61" s="1">
        <f t="shared" si="4"/>
        <v>0.11547005383792516</v>
      </c>
      <c r="J61" s="1">
        <f>Parametri!$D$8</f>
        <v>0.11547005383792516</v>
      </c>
    </row>
    <row r="62" spans="1:10" ht="17.25" customHeight="1" x14ac:dyDescent="0.3">
      <c r="A62" s="7">
        <f t="shared" si="5"/>
        <v>345</v>
      </c>
      <c r="D62" s="8">
        <f t="shared" si="3"/>
        <v>1846</v>
      </c>
      <c r="E62" s="1">
        <v>923</v>
      </c>
      <c r="F62" s="11">
        <f>IF(C62=0, Parametri!$D$8, ABS(B62-C62)/(2*SQRT(3)))</f>
        <v>0.11547005383792516</v>
      </c>
      <c r="G62" s="1">
        <f>(A62-335)+135.8+(Parametri!$A$5/2)</f>
        <v>145.80000000000001</v>
      </c>
      <c r="H62" s="1">
        <f>(E62-192)-('Dati (2)'!A62-Parametri!$A$11)+Parametri!$A$2</f>
        <v>386</v>
      </c>
      <c r="I62" s="1">
        <f t="shared" si="4"/>
        <v>0.11547005383792516</v>
      </c>
      <c r="J62" s="1">
        <f>Parametri!$D$8</f>
        <v>0.11547005383792516</v>
      </c>
    </row>
    <row r="63" spans="1:10" ht="17.25" customHeight="1" x14ac:dyDescent="0.3">
      <c r="A63" s="7">
        <f t="shared" si="5"/>
        <v>347</v>
      </c>
      <c r="D63" s="8">
        <f t="shared" si="3"/>
        <v>1840</v>
      </c>
      <c r="E63" s="1">
        <v>920</v>
      </c>
      <c r="F63" s="11">
        <f>IF(C63=0, Parametri!$D$8, ABS(B63-C63)/(2*SQRT(3)))</f>
        <v>0.11547005383792516</v>
      </c>
      <c r="G63" s="1">
        <f>(A63-335)+135.8+(Parametri!$A$5/2)</f>
        <v>147.80000000000001</v>
      </c>
      <c r="H63" s="1">
        <f>(E63-192)-('Dati (2)'!A63-Parametri!$A$11)+Parametri!$A$2</f>
        <v>381</v>
      </c>
      <c r="I63" s="1">
        <f t="shared" si="4"/>
        <v>0.11547005383792516</v>
      </c>
      <c r="J63" s="1">
        <f>Parametri!$D$8</f>
        <v>0.11547005383792516</v>
      </c>
    </row>
    <row r="64" spans="1:10" ht="17.25" customHeight="1" x14ac:dyDescent="0.3">
      <c r="A64" s="7">
        <f t="shared" si="5"/>
        <v>349</v>
      </c>
      <c r="D64" s="8">
        <f t="shared" si="3"/>
        <v>1824</v>
      </c>
      <c r="E64" s="1">
        <v>912</v>
      </c>
      <c r="F64" s="11">
        <f>IF(C64=0, Parametri!$D$8, ABS(B64-C64)/(2*SQRT(3)))</f>
        <v>0.11547005383792516</v>
      </c>
      <c r="G64" s="1">
        <f>(A64-335)+135.8+(Parametri!$A$5/2)</f>
        <v>149.80000000000001</v>
      </c>
      <c r="H64" s="1">
        <f>(E64-192)-('Dati (2)'!A64-Parametri!$A$11)+Parametri!$A$2</f>
        <v>371</v>
      </c>
      <c r="I64" s="1">
        <f t="shared" si="4"/>
        <v>0.11547005383792516</v>
      </c>
      <c r="J64" s="1">
        <f>Parametri!$D$8</f>
        <v>0.11547005383792516</v>
      </c>
    </row>
    <row r="65" spans="1:10" ht="17.25" customHeight="1" x14ac:dyDescent="0.3">
      <c r="A65" s="7">
        <f t="shared" si="5"/>
        <v>351</v>
      </c>
      <c r="D65" s="8">
        <f t="shared" si="3"/>
        <v>1812</v>
      </c>
      <c r="E65" s="1">
        <v>906</v>
      </c>
      <c r="F65" s="11">
        <f>IF(C65=0, Parametri!$D$8, ABS(B65-C65)/(2*SQRT(3)))</f>
        <v>0.11547005383792516</v>
      </c>
      <c r="G65" s="1">
        <f>(A65-335)+135.8+(Parametri!$A$5/2)</f>
        <v>151.80000000000001</v>
      </c>
      <c r="H65" s="1">
        <f>(E65-192)-('Dati (2)'!A65-Parametri!$A$11)+Parametri!$A$2</f>
        <v>363</v>
      </c>
      <c r="I65" s="1">
        <f t="shared" si="4"/>
        <v>0.11547005383792516</v>
      </c>
      <c r="J65" s="1">
        <f>Parametri!$D$8</f>
        <v>0.11547005383792516</v>
      </c>
    </row>
    <row r="66" spans="1:10" ht="17.25" customHeight="1" x14ac:dyDescent="0.3">
      <c r="A66" s="7">
        <f t="shared" ref="A66:A73" si="6">A65+3</f>
        <v>354</v>
      </c>
      <c r="D66" s="8">
        <f t="shared" ref="D66:D97" si="7">B66+2*E66</f>
        <v>1806</v>
      </c>
      <c r="E66" s="1">
        <v>903</v>
      </c>
      <c r="F66" s="11">
        <f>IF(C66=0, Parametri!$D$8, ABS(B66-C66)/(2*SQRT(3)))</f>
        <v>0.11547005383792516</v>
      </c>
      <c r="G66" s="1">
        <f>(A66-335)+135.8+(Parametri!$A$5/2)</f>
        <v>154.80000000000001</v>
      </c>
      <c r="H66" s="1">
        <f>(E66-192)-('Dati (2)'!A66-Parametri!$A$11)+Parametri!$A$2</f>
        <v>357</v>
      </c>
      <c r="I66" s="1">
        <f t="shared" ref="I66:I97" si="8">F66</f>
        <v>0.11547005383792516</v>
      </c>
      <c r="J66" s="1">
        <f>Parametri!$D$8</f>
        <v>0.11547005383792516</v>
      </c>
    </row>
    <row r="67" spans="1:10" ht="17.25" customHeight="1" x14ac:dyDescent="0.3">
      <c r="A67" s="7">
        <f t="shared" si="6"/>
        <v>357</v>
      </c>
      <c r="D67" s="8">
        <f t="shared" si="7"/>
        <v>1782</v>
      </c>
      <c r="E67" s="1">
        <v>891</v>
      </c>
      <c r="F67" s="11">
        <f>IF(C67=0, Parametri!$D$8, ABS(B67-C67)/(2*SQRT(3)))</f>
        <v>0.11547005383792516</v>
      </c>
      <c r="G67" s="1">
        <f>(A67-335)+135.8+(Parametri!$A$5/2)</f>
        <v>157.80000000000001</v>
      </c>
      <c r="H67" s="1">
        <f>(E67-192)-('Dati (2)'!A67-Parametri!$A$11)+Parametri!$A$2</f>
        <v>342</v>
      </c>
      <c r="I67" s="1">
        <f t="shared" si="8"/>
        <v>0.11547005383792516</v>
      </c>
      <c r="J67" s="1">
        <f>Parametri!$D$8</f>
        <v>0.11547005383792516</v>
      </c>
    </row>
    <row r="68" spans="1:10" ht="17.25" customHeight="1" x14ac:dyDescent="0.3">
      <c r="A68" s="7">
        <f t="shared" si="6"/>
        <v>360</v>
      </c>
      <c r="D68" s="8">
        <f t="shared" si="7"/>
        <v>1777</v>
      </c>
      <c r="E68" s="1">
        <v>888.5</v>
      </c>
      <c r="F68" s="11">
        <f>IF(C68=0, Parametri!$D$8, ABS(B68-C68)/(2*SQRT(3)))</f>
        <v>0.11547005383792516</v>
      </c>
      <c r="G68" s="1">
        <f>(A68-335)+135.8+(Parametri!$A$5/2)</f>
        <v>160.80000000000001</v>
      </c>
      <c r="H68" s="1">
        <f>(E68-192)-('Dati (2)'!A68-Parametri!$A$11)+Parametri!$A$2</f>
        <v>336.5</v>
      </c>
      <c r="I68" s="1">
        <f t="shared" si="8"/>
        <v>0.11547005383792516</v>
      </c>
      <c r="J68" s="1">
        <f>Parametri!$D$8</f>
        <v>0.11547005383792516</v>
      </c>
    </row>
    <row r="69" spans="1:10" ht="17.25" customHeight="1" x14ac:dyDescent="0.3">
      <c r="A69" s="7">
        <f t="shared" si="6"/>
        <v>363</v>
      </c>
      <c r="D69" s="8">
        <f t="shared" si="7"/>
        <v>1780</v>
      </c>
      <c r="E69" s="1">
        <v>890</v>
      </c>
      <c r="F69" s="11">
        <f>IF(C69=0, Parametri!$D$8, ABS(B69-C69)/(2*SQRT(3)))</f>
        <v>0.11547005383792516</v>
      </c>
      <c r="G69" s="1">
        <f>(A69-335)+135.8+(Parametri!$A$5/2)</f>
        <v>163.80000000000001</v>
      </c>
      <c r="H69" s="1">
        <f>(E69-192)-('Dati (2)'!A69-Parametri!$A$11)+Parametri!$A$2</f>
        <v>335</v>
      </c>
      <c r="I69" s="1">
        <f t="shared" si="8"/>
        <v>0.11547005383792516</v>
      </c>
      <c r="J69" s="1">
        <f>Parametri!$D$8</f>
        <v>0.11547005383792516</v>
      </c>
    </row>
    <row r="70" spans="1:10" ht="17.25" customHeight="1" x14ac:dyDescent="0.3">
      <c r="A70" s="7">
        <f t="shared" si="6"/>
        <v>366</v>
      </c>
      <c r="D70" s="8">
        <f t="shared" si="7"/>
        <v>1752</v>
      </c>
      <c r="E70" s="1">
        <v>876</v>
      </c>
      <c r="F70" s="11">
        <f>IF(C70=0, Parametri!$D$8, ABS(B70-C70)/(2*SQRT(3)))</f>
        <v>0.11547005383792516</v>
      </c>
      <c r="G70" s="1">
        <f>(A70-335)+135.8+(Parametri!$A$5/2)</f>
        <v>166.8</v>
      </c>
      <c r="H70" s="1">
        <f>(E70-192)-('Dati (2)'!A70-Parametri!$A$11)+Parametri!$A$2</f>
        <v>318</v>
      </c>
      <c r="I70" s="1">
        <f t="shared" si="8"/>
        <v>0.11547005383792516</v>
      </c>
      <c r="J70" s="1">
        <f>Parametri!$D$8</f>
        <v>0.11547005383792516</v>
      </c>
    </row>
    <row r="71" spans="1:10" ht="17.25" customHeight="1" x14ac:dyDescent="0.3">
      <c r="A71" s="7">
        <f t="shared" si="6"/>
        <v>369</v>
      </c>
      <c r="D71" s="8">
        <f t="shared" si="7"/>
        <v>1744</v>
      </c>
      <c r="E71" s="1">
        <v>872</v>
      </c>
      <c r="F71" s="11">
        <f>IF(C71=0, Parametri!$D$8, ABS(B71-C71)/(2*SQRT(3)))</f>
        <v>0.11547005383792516</v>
      </c>
      <c r="G71" s="1">
        <f>(A71-335)+135.8+(Parametri!$A$5/2)</f>
        <v>169.8</v>
      </c>
      <c r="H71" s="1">
        <f>(E71-192)-('Dati (2)'!A71-Parametri!$A$11)+Parametri!$A$2</f>
        <v>311</v>
      </c>
      <c r="I71" s="1">
        <f t="shared" si="8"/>
        <v>0.11547005383792516</v>
      </c>
      <c r="J71" s="1">
        <f>Parametri!$D$8</f>
        <v>0.11547005383792516</v>
      </c>
    </row>
    <row r="72" spans="1:10" ht="17.25" customHeight="1" x14ac:dyDescent="0.3">
      <c r="A72" s="7">
        <f t="shared" si="6"/>
        <v>372</v>
      </c>
      <c r="D72" s="8">
        <f t="shared" si="7"/>
        <v>1742</v>
      </c>
      <c r="E72" s="1">
        <v>871</v>
      </c>
      <c r="F72" s="11">
        <f>IF(C72=0, Parametri!$D$8, ABS(B72-C72)/(2*SQRT(3)))</f>
        <v>0.11547005383792516</v>
      </c>
      <c r="G72" s="1">
        <f>(A72-335)+135.8+(Parametri!$A$5/2)</f>
        <v>172.8</v>
      </c>
      <c r="H72" s="1">
        <f>(E72-192)-('Dati (2)'!A72-Parametri!$A$11)+Parametri!$A$2</f>
        <v>307</v>
      </c>
      <c r="I72" s="1">
        <f t="shared" si="8"/>
        <v>0.11547005383792516</v>
      </c>
      <c r="J72" s="1">
        <f>Parametri!$D$8</f>
        <v>0.11547005383792516</v>
      </c>
    </row>
    <row r="73" spans="1:10" ht="17.25" customHeight="1" x14ac:dyDescent="0.3">
      <c r="A73" s="7">
        <f t="shared" si="6"/>
        <v>375</v>
      </c>
      <c r="D73" s="8">
        <f t="shared" si="7"/>
        <v>1734</v>
      </c>
      <c r="E73" s="1">
        <v>867</v>
      </c>
      <c r="F73" s="11">
        <f>IF(C73=0, Parametri!$D$8, ABS(B73-C73)/(2*SQRT(3)))</f>
        <v>0.11547005383792516</v>
      </c>
      <c r="G73" s="1">
        <f>(A73-335)+135.8+(Parametri!$A$5/2)</f>
        <v>175.8</v>
      </c>
      <c r="H73" s="1">
        <f>(E73-192)-('Dati (2)'!A73-Parametri!$A$11)+Parametri!$A$2</f>
        <v>300</v>
      </c>
      <c r="I73" s="1">
        <f t="shared" si="8"/>
        <v>0.11547005383792516</v>
      </c>
      <c r="J73" s="1">
        <f>Parametri!$D$8</f>
        <v>0.11547005383792516</v>
      </c>
    </row>
    <row r="74" spans="1:10" ht="17.25" customHeight="1" x14ac:dyDescent="0.3">
      <c r="A74" s="7">
        <f t="shared" ref="A74:A81" si="9">A73+4</f>
        <v>379</v>
      </c>
      <c r="D74" s="8">
        <f t="shared" si="7"/>
        <v>1721</v>
      </c>
      <c r="E74" s="1">
        <v>860.5</v>
      </c>
      <c r="F74" s="11">
        <f>IF(C74=0, Parametri!$D$8, ABS(B74-C74)/(2*SQRT(3)))</f>
        <v>0.11547005383792516</v>
      </c>
      <c r="G74" s="1">
        <f>(A74-335)+135.8+(Parametri!$A$5/2)</f>
        <v>179.8</v>
      </c>
      <c r="H74" s="1">
        <f>(E74-192)-('Dati (2)'!A74-Parametri!$A$11)+Parametri!$A$2</f>
        <v>289.5</v>
      </c>
      <c r="I74" s="1">
        <f t="shared" si="8"/>
        <v>0.11547005383792516</v>
      </c>
      <c r="J74" s="1">
        <f>Parametri!$D$8</f>
        <v>0.11547005383792516</v>
      </c>
    </row>
    <row r="75" spans="1:10" ht="17.25" customHeight="1" x14ac:dyDescent="0.3">
      <c r="A75" s="7">
        <f t="shared" si="9"/>
        <v>383</v>
      </c>
      <c r="D75" s="8">
        <f t="shared" si="7"/>
        <v>1720</v>
      </c>
      <c r="E75" s="1">
        <v>860</v>
      </c>
      <c r="F75" s="11">
        <f>IF(C75=0, Parametri!$D$8, ABS(B75-C75)/(2*SQRT(3)))</f>
        <v>0.11547005383792516</v>
      </c>
      <c r="G75" s="1">
        <f>(A75-335)+135.8+(Parametri!$A$5/2)</f>
        <v>183.8</v>
      </c>
      <c r="H75" s="1">
        <f>(E75-192)-('Dati (2)'!A75-Parametri!$A$11)+Parametri!$A$2</f>
        <v>285</v>
      </c>
      <c r="I75" s="1">
        <f t="shared" si="8"/>
        <v>0.11547005383792516</v>
      </c>
      <c r="J75" s="1">
        <f>Parametri!$D$8</f>
        <v>0.11547005383792516</v>
      </c>
    </row>
    <row r="76" spans="1:10" ht="17.25" customHeight="1" x14ac:dyDescent="0.3">
      <c r="A76" s="7">
        <f t="shared" si="9"/>
        <v>387</v>
      </c>
      <c r="D76" s="8">
        <f t="shared" si="7"/>
        <v>1706</v>
      </c>
      <c r="E76" s="1">
        <v>853</v>
      </c>
      <c r="F76" s="11">
        <f>IF(C76=0, Parametri!$D$8, ABS(B76-C76)/(2*SQRT(3)))</f>
        <v>0.11547005383792516</v>
      </c>
      <c r="G76" s="1">
        <f>(A76-335)+135.8+(Parametri!$A$5/2)</f>
        <v>187.8</v>
      </c>
      <c r="H76" s="1">
        <f>(E76-192)-('Dati (2)'!A76-Parametri!$A$11)+Parametri!$A$2</f>
        <v>274</v>
      </c>
      <c r="I76" s="1">
        <f t="shared" si="8"/>
        <v>0.11547005383792516</v>
      </c>
      <c r="J76" s="1">
        <f>Parametri!$D$8</f>
        <v>0.11547005383792516</v>
      </c>
    </row>
    <row r="77" spans="1:10" ht="17.25" customHeight="1" x14ac:dyDescent="0.3">
      <c r="A77" s="7">
        <f t="shared" si="9"/>
        <v>391</v>
      </c>
      <c r="D77" s="8">
        <f t="shared" si="7"/>
        <v>1695</v>
      </c>
      <c r="E77" s="1">
        <v>847.5</v>
      </c>
      <c r="F77" s="11">
        <f>IF(C77=0, Parametri!$D$8, ABS(B77-C77)/(2*SQRT(3)))</f>
        <v>0.11547005383792516</v>
      </c>
      <c r="G77" s="1">
        <f>(A77-335)+135.8+(Parametri!$A$5/2)</f>
        <v>191.8</v>
      </c>
      <c r="H77" s="1">
        <f>(E77-192)-('Dati (2)'!A77-Parametri!$A$11)+Parametri!$A$2</f>
        <v>264.5</v>
      </c>
      <c r="I77" s="1">
        <f t="shared" si="8"/>
        <v>0.11547005383792516</v>
      </c>
      <c r="J77" s="1">
        <f>Parametri!$D$8</f>
        <v>0.11547005383792516</v>
      </c>
    </row>
    <row r="78" spans="1:10" ht="17.25" customHeight="1" x14ac:dyDescent="0.3">
      <c r="A78" s="7">
        <f t="shared" si="9"/>
        <v>395</v>
      </c>
      <c r="D78" s="8">
        <f t="shared" si="7"/>
        <v>1696</v>
      </c>
      <c r="E78" s="1">
        <v>848</v>
      </c>
      <c r="F78" s="11">
        <f>IF(C78=0, Parametri!$D$8, ABS(B78-C78)/(2*SQRT(3)))</f>
        <v>0.11547005383792516</v>
      </c>
      <c r="G78" s="1">
        <f>(A78-335)+135.8+(Parametri!$A$5/2)</f>
        <v>195.8</v>
      </c>
      <c r="H78" s="1">
        <f>(E78-192)-('Dati (2)'!A78-Parametri!$A$11)+Parametri!$A$2</f>
        <v>261</v>
      </c>
      <c r="I78" s="1">
        <f t="shared" si="8"/>
        <v>0.11547005383792516</v>
      </c>
      <c r="J78" s="1">
        <f>Parametri!$D$8</f>
        <v>0.11547005383792516</v>
      </c>
    </row>
    <row r="79" spans="1:10" ht="17.25" customHeight="1" x14ac:dyDescent="0.3">
      <c r="A79" s="7">
        <f t="shared" si="9"/>
        <v>399</v>
      </c>
      <c r="D79" s="8">
        <f t="shared" si="7"/>
        <v>1685</v>
      </c>
      <c r="E79" s="1">
        <v>842.5</v>
      </c>
      <c r="F79" s="11">
        <f>IF(C79=0, Parametri!$D$8, ABS(B79-C79)/(2*SQRT(3)))</f>
        <v>0.11547005383792516</v>
      </c>
      <c r="G79" s="1">
        <f>(A79-335)+135.8+(Parametri!$A$5/2)</f>
        <v>199.8</v>
      </c>
      <c r="H79" s="1">
        <f>(E79-192)-('Dati (2)'!A79-Parametri!$A$11)+Parametri!$A$2</f>
        <v>251.5</v>
      </c>
      <c r="I79" s="1">
        <f t="shared" si="8"/>
        <v>0.11547005383792516</v>
      </c>
      <c r="J79" s="1">
        <f>Parametri!$D$8</f>
        <v>0.11547005383792516</v>
      </c>
    </row>
    <row r="80" spans="1:10" ht="17.25" customHeight="1" x14ac:dyDescent="0.3">
      <c r="A80" s="7">
        <f t="shared" si="9"/>
        <v>403</v>
      </c>
      <c r="D80" s="8">
        <f t="shared" si="7"/>
        <v>1682</v>
      </c>
      <c r="E80" s="1">
        <v>841</v>
      </c>
      <c r="F80" s="11">
        <f>IF(C80=0, Parametri!$D$8, ABS(B80-C80)/(2*SQRT(3)))</f>
        <v>0.11547005383792516</v>
      </c>
      <c r="G80" s="1">
        <f>(A80-335)+135.8+(Parametri!$A$5/2)</f>
        <v>203.8</v>
      </c>
      <c r="H80" s="1">
        <f>(E80-192)-('Dati (2)'!A80-Parametri!$A$11)+Parametri!$A$2</f>
        <v>246</v>
      </c>
      <c r="I80" s="1">
        <f t="shared" si="8"/>
        <v>0.11547005383792516</v>
      </c>
      <c r="J80" s="1">
        <f>Parametri!$D$8</f>
        <v>0.11547005383792516</v>
      </c>
    </row>
    <row r="81" spans="1:10" ht="17.25" customHeight="1" x14ac:dyDescent="0.3">
      <c r="A81" s="7">
        <f t="shared" si="9"/>
        <v>407</v>
      </c>
      <c r="D81" s="8">
        <f t="shared" si="7"/>
        <v>1677</v>
      </c>
      <c r="E81" s="1">
        <v>838.5</v>
      </c>
      <c r="F81" s="11">
        <f>IF(C81=0, Parametri!$D$8, ABS(B81-C81)/(2*SQRT(3)))</f>
        <v>0.11547005383792516</v>
      </c>
      <c r="G81" s="1">
        <f>(A81-335)+135.8+(Parametri!$A$5/2)</f>
        <v>207.8</v>
      </c>
      <c r="H81" s="1">
        <f>(E81-192)-('Dati (2)'!A81-Parametri!$A$11)+Parametri!$A$2</f>
        <v>239.5</v>
      </c>
      <c r="I81" s="1">
        <f t="shared" si="8"/>
        <v>0.11547005383792516</v>
      </c>
      <c r="J81" s="1">
        <f>Parametri!$D$8</f>
        <v>0.11547005383792516</v>
      </c>
    </row>
    <row r="82" spans="1:10" ht="17.25" customHeight="1" x14ac:dyDescent="0.3">
      <c r="A82" s="7">
        <f t="shared" ref="A82:A89" si="10">A81+5</f>
        <v>412</v>
      </c>
      <c r="D82" s="8">
        <f t="shared" si="7"/>
        <v>1683</v>
      </c>
      <c r="E82" s="1">
        <v>841.5</v>
      </c>
      <c r="F82" s="11">
        <f>IF(C82=0, Parametri!$D$8, ABS(B82-C82)/(2*SQRT(3)))</f>
        <v>0.11547005383792516</v>
      </c>
      <c r="G82" s="1">
        <f>(A82-335)+135.8+(Parametri!$A$5/2)</f>
        <v>212.8</v>
      </c>
      <c r="H82" s="1">
        <f>(E82-192)-('Dati (2)'!A82-Parametri!$A$11)+Parametri!$A$2</f>
        <v>237.5</v>
      </c>
      <c r="I82" s="1">
        <f t="shared" si="8"/>
        <v>0.11547005383792516</v>
      </c>
      <c r="J82" s="1">
        <f>Parametri!$D$8</f>
        <v>0.11547005383792516</v>
      </c>
    </row>
    <row r="83" spans="1:10" ht="17.25" customHeight="1" x14ac:dyDescent="0.3">
      <c r="A83" s="7">
        <f t="shared" si="10"/>
        <v>417</v>
      </c>
      <c r="D83" s="8">
        <f t="shared" si="7"/>
        <v>1684</v>
      </c>
      <c r="E83" s="1">
        <v>842</v>
      </c>
      <c r="F83" s="11">
        <f>IF(C83=0, Parametri!$D$8, ABS(B83-C83)/(2*SQRT(3)))</f>
        <v>0.11547005383792516</v>
      </c>
      <c r="G83" s="1">
        <f>(A83-335)+135.8+(Parametri!$A$5/2)</f>
        <v>217.8</v>
      </c>
      <c r="H83" s="1">
        <f>(E83-192)-('Dati (2)'!A83-Parametri!$A$11)+Parametri!$A$2</f>
        <v>233</v>
      </c>
      <c r="I83" s="1">
        <f t="shared" si="8"/>
        <v>0.11547005383792516</v>
      </c>
      <c r="J83" s="1">
        <f>Parametri!$D$8</f>
        <v>0.11547005383792516</v>
      </c>
    </row>
    <row r="84" spans="1:10" ht="17.25" customHeight="1" x14ac:dyDescent="0.3">
      <c r="A84" s="7">
        <f t="shared" si="10"/>
        <v>422</v>
      </c>
      <c r="D84" s="8">
        <f t="shared" si="7"/>
        <v>1682</v>
      </c>
      <c r="E84" s="1">
        <v>841</v>
      </c>
      <c r="F84" s="11">
        <f>IF(C84=0, Parametri!$D$8, ABS(B84-C84)/(2*SQRT(3)))</f>
        <v>0.11547005383792516</v>
      </c>
      <c r="G84" s="1">
        <f>(A84-335)+135.8+(Parametri!$A$5/2)</f>
        <v>222.8</v>
      </c>
      <c r="H84" s="1">
        <f>(E84-192)-('Dati (2)'!A84-Parametri!$A$11)+Parametri!$A$2</f>
        <v>227</v>
      </c>
      <c r="I84" s="1">
        <f t="shared" si="8"/>
        <v>0.11547005383792516</v>
      </c>
      <c r="J84" s="1">
        <f>Parametri!$D$8</f>
        <v>0.11547005383792516</v>
      </c>
    </row>
    <row r="85" spans="1:10" ht="17.25" customHeight="1" x14ac:dyDescent="0.3">
      <c r="A85" s="7">
        <f t="shared" si="10"/>
        <v>427</v>
      </c>
      <c r="D85" s="8">
        <f t="shared" si="7"/>
        <v>1681</v>
      </c>
      <c r="E85" s="1">
        <v>840.5</v>
      </c>
      <c r="F85" s="11">
        <f>IF(C85=0, Parametri!$D$8, ABS(B85-C85)/(2*SQRT(3)))</f>
        <v>0.11547005383792516</v>
      </c>
      <c r="G85" s="1">
        <f>(A85-335)+135.8+(Parametri!$A$5/2)</f>
        <v>227.8</v>
      </c>
      <c r="H85" s="1">
        <f>(E85-192)-('Dati (2)'!A85-Parametri!$A$11)+Parametri!$A$2</f>
        <v>221.5</v>
      </c>
      <c r="I85" s="1">
        <f t="shared" si="8"/>
        <v>0.11547005383792516</v>
      </c>
      <c r="J85" s="1">
        <f>Parametri!$D$8</f>
        <v>0.11547005383792516</v>
      </c>
    </row>
    <row r="86" spans="1:10" ht="17.25" customHeight="1" x14ac:dyDescent="0.3">
      <c r="A86" s="7">
        <f t="shared" si="10"/>
        <v>432</v>
      </c>
      <c r="D86" s="8">
        <f t="shared" si="7"/>
        <v>1680</v>
      </c>
      <c r="E86" s="1">
        <v>840</v>
      </c>
      <c r="F86" s="11">
        <f>IF(C86=0, Parametri!$D$8, ABS(B86-C86)/(2*SQRT(3)))</f>
        <v>0.11547005383792516</v>
      </c>
      <c r="G86" s="1">
        <f>(A86-335)+135.8+(Parametri!$A$5/2)</f>
        <v>232.8</v>
      </c>
      <c r="H86" s="1">
        <f>(E86-192)-('Dati (2)'!A86-Parametri!$A$11)+Parametri!$A$2</f>
        <v>216</v>
      </c>
      <c r="I86" s="1">
        <f t="shared" si="8"/>
        <v>0.11547005383792516</v>
      </c>
      <c r="J86" s="1">
        <f>Parametri!$D$8</f>
        <v>0.11547005383792516</v>
      </c>
    </row>
    <row r="87" spans="1:10" ht="17.25" customHeight="1" x14ac:dyDescent="0.3">
      <c r="A87" s="7">
        <f t="shared" si="10"/>
        <v>437</v>
      </c>
      <c r="D87" s="8">
        <f t="shared" si="7"/>
        <v>1680</v>
      </c>
      <c r="E87" s="1">
        <v>840</v>
      </c>
      <c r="F87" s="11">
        <f>IF(C87=0, Parametri!$D$8, ABS(B87-C87)/(2*SQRT(3)))</f>
        <v>0.11547005383792516</v>
      </c>
      <c r="G87" s="1">
        <f>(A87-335)+135.8+(Parametri!$A$5/2)</f>
        <v>237.8</v>
      </c>
      <c r="H87" s="1">
        <f>(E87-192)-('Dati (2)'!A87-Parametri!$A$11)+Parametri!$A$2</f>
        <v>211</v>
      </c>
      <c r="I87" s="1">
        <f t="shared" si="8"/>
        <v>0.11547005383792516</v>
      </c>
      <c r="J87" s="1">
        <f>Parametri!$D$8</f>
        <v>0.11547005383792516</v>
      </c>
    </row>
    <row r="88" spans="1:10" ht="17.25" customHeight="1" x14ac:dyDescent="0.3">
      <c r="A88" s="7">
        <f t="shared" si="10"/>
        <v>442</v>
      </c>
      <c r="D88" s="8">
        <f t="shared" si="7"/>
        <v>1680</v>
      </c>
      <c r="E88" s="1">
        <v>840</v>
      </c>
      <c r="F88" s="11">
        <f>IF(C88=0, Parametri!$D$8, ABS(B88-C88)/(2*SQRT(3)))</f>
        <v>0.11547005383792516</v>
      </c>
      <c r="G88" s="1">
        <f>(A88-335)+135.8+(Parametri!$A$5/2)</f>
        <v>242.8</v>
      </c>
      <c r="H88" s="1">
        <f>(E88-192)-('Dati (2)'!A88-Parametri!$A$11)+Parametri!$A$2</f>
        <v>206</v>
      </c>
      <c r="I88" s="1">
        <f t="shared" si="8"/>
        <v>0.11547005383792516</v>
      </c>
      <c r="J88" s="1">
        <f>Parametri!$D$8</f>
        <v>0.11547005383792516</v>
      </c>
    </row>
    <row r="89" spans="1:10" ht="17.25" customHeight="1" x14ac:dyDescent="0.3">
      <c r="A89" s="7">
        <f t="shared" si="10"/>
        <v>447</v>
      </c>
      <c r="D89" s="8">
        <f t="shared" si="7"/>
        <v>1680</v>
      </c>
      <c r="E89" s="1">
        <v>840</v>
      </c>
      <c r="F89" s="11">
        <f>IF(C89=0, Parametri!$D$8, ABS(B89-C89)/(2*SQRT(3)))</f>
        <v>0.11547005383792516</v>
      </c>
      <c r="G89" s="1">
        <f>(A89-335)+135.8+(Parametri!$A$5/2)</f>
        <v>247.8</v>
      </c>
      <c r="H89" s="1">
        <f>(E89-192)-('Dati (2)'!A89-Parametri!$A$11)+Parametri!$A$2</f>
        <v>201</v>
      </c>
      <c r="I89" s="1">
        <f t="shared" si="8"/>
        <v>0.11547005383792516</v>
      </c>
      <c r="J89" s="1">
        <f>Parametri!$D$8</f>
        <v>0.11547005383792516</v>
      </c>
    </row>
    <row r="90" spans="1:10" ht="17.25" customHeight="1" x14ac:dyDescent="0.3">
      <c r="A90" s="7">
        <f>A89+7</f>
        <v>454</v>
      </c>
      <c r="D90" s="8">
        <f t="shared" si="7"/>
        <v>1680</v>
      </c>
      <c r="E90" s="1">
        <v>840</v>
      </c>
      <c r="F90" s="11">
        <f>IF(C90=0, Parametri!$D$8, ABS(B90-C90)/(2*SQRT(3)))</f>
        <v>0.11547005383792516</v>
      </c>
      <c r="G90" s="1">
        <f>(A90-335)+135.8+(Parametri!$A$5/2)</f>
        <v>254.8</v>
      </c>
      <c r="H90" s="1">
        <f>(E90-192)-('Dati (2)'!A90-Parametri!$A$11)+Parametri!$A$2</f>
        <v>194</v>
      </c>
      <c r="I90" s="1">
        <f t="shared" si="8"/>
        <v>0.11547005383792516</v>
      </c>
      <c r="J90" s="1">
        <f>Parametri!$D$8</f>
        <v>0.11547005383792516</v>
      </c>
    </row>
    <row r="91" spans="1:10" ht="17.25" customHeight="1" x14ac:dyDescent="0.3">
      <c r="A91" s="7">
        <f>A90+7</f>
        <v>461</v>
      </c>
      <c r="D91" s="8">
        <f t="shared" si="7"/>
        <v>1683</v>
      </c>
      <c r="E91" s="1">
        <v>841.5</v>
      </c>
      <c r="F91" s="11">
        <f>IF(C91=0, Parametri!$D$8, ABS(B91-C91)/(2*SQRT(3)))</f>
        <v>0.11547005383792516</v>
      </c>
      <c r="G91" s="1">
        <f>(A91-335)+135.8+(Parametri!$A$5/2)</f>
        <v>261.8</v>
      </c>
      <c r="H91" s="1">
        <f>(E91-192)-('Dati (2)'!A91-Parametri!$A$11)+Parametri!$A$2</f>
        <v>188.5</v>
      </c>
      <c r="I91" s="1">
        <f t="shared" si="8"/>
        <v>0.11547005383792516</v>
      </c>
      <c r="J91" s="1">
        <f>Parametri!$D$8</f>
        <v>0.11547005383792516</v>
      </c>
    </row>
    <row r="92" spans="1:10" ht="17.25" customHeight="1" x14ac:dyDescent="0.3">
      <c r="A92" s="7">
        <f>A91+7</f>
        <v>468</v>
      </c>
      <c r="D92" s="8">
        <f t="shared" si="7"/>
        <v>1692</v>
      </c>
      <c r="E92" s="1">
        <v>846</v>
      </c>
      <c r="F92" s="11">
        <f>IF(C92=0, Parametri!$D$8, ABS(B92-C92)/(2*SQRT(3)))</f>
        <v>0.11547005383792516</v>
      </c>
      <c r="G92" s="1">
        <f>(A92-335)+135.8+(Parametri!$A$5/2)</f>
        <v>268.8</v>
      </c>
      <c r="H92" s="1">
        <f>(E92-192)-('Dati (2)'!A92-Parametri!$A$11)+Parametri!$A$2</f>
        <v>186</v>
      </c>
      <c r="I92" s="1">
        <f t="shared" si="8"/>
        <v>0.11547005383792516</v>
      </c>
      <c r="J92" s="1">
        <f>Parametri!$D$8</f>
        <v>0.11547005383792516</v>
      </c>
    </row>
    <row r="93" spans="1:10" ht="17.25" customHeight="1" x14ac:dyDescent="0.3">
      <c r="A93" s="7">
        <f>A92+7</f>
        <v>475</v>
      </c>
      <c r="D93" s="8">
        <f t="shared" si="7"/>
        <v>1689</v>
      </c>
      <c r="E93" s="1">
        <v>844.5</v>
      </c>
      <c r="F93" s="11">
        <f>IF(C93=0, Parametri!$D$8, ABS(B93-C93)/(2*SQRT(3)))</f>
        <v>0.11547005383792516</v>
      </c>
      <c r="G93" s="1">
        <f>(A93-335)+135.8+(Parametri!$A$5/2)</f>
        <v>275.8</v>
      </c>
      <c r="H93" s="1">
        <f>(E93-192)-('Dati (2)'!A93-Parametri!$A$11)+Parametri!$A$2</f>
        <v>177.5</v>
      </c>
      <c r="I93" s="1">
        <f t="shared" si="8"/>
        <v>0.11547005383792516</v>
      </c>
      <c r="J93" s="1">
        <f>Parametri!$D$8</f>
        <v>0.11547005383792516</v>
      </c>
    </row>
    <row r="94" spans="1:10" ht="17.25" customHeight="1" x14ac:dyDescent="0.3">
      <c r="A94" s="7">
        <f t="shared" ref="A94:A103" si="11">A93+10</f>
        <v>485</v>
      </c>
      <c r="D94" s="8">
        <f t="shared" si="7"/>
        <v>1700</v>
      </c>
      <c r="E94" s="1">
        <v>850</v>
      </c>
      <c r="F94" s="11">
        <f>IF(C94=0, Parametri!$D$8, ABS(B94-C94)/(2*SQRT(3)))</f>
        <v>0.11547005383792516</v>
      </c>
      <c r="G94" s="1">
        <f>(A94-335)+135.8+(Parametri!$A$5/2)</f>
        <v>285.8</v>
      </c>
      <c r="H94" s="1">
        <f>(E94-192)-('Dati (2)'!A94-Parametri!$A$11)+Parametri!$A$2</f>
        <v>173</v>
      </c>
      <c r="I94" s="1">
        <f t="shared" si="8"/>
        <v>0.11547005383792516</v>
      </c>
      <c r="J94" s="1">
        <f>Parametri!$D$8</f>
        <v>0.11547005383792516</v>
      </c>
    </row>
    <row r="95" spans="1:10" ht="17.25" customHeight="1" x14ac:dyDescent="0.3">
      <c r="A95" s="7">
        <f t="shared" si="11"/>
        <v>495</v>
      </c>
      <c r="D95" s="8">
        <f t="shared" si="7"/>
        <v>1706</v>
      </c>
      <c r="E95" s="1">
        <v>853</v>
      </c>
      <c r="F95" s="11">
        <f>IF(C95=0, Parametri!$D$8, ABS(B95-C95)/(2*SQRT(3)))</f>
        <v>0.11547005383792516</v>
      </c>
      <c r="G95" s="1">
        <f>(A95-335)+135.8+(Parametri!$A$5/2)</f>
        <v>295.8</v>
      </c>
      <c r="H95" s="1">
        <f>(E95-192)-('Dati (2)'!A95-Parametri!$A$11)+Parametri!$A$2</f>
        <v>166</v>
      </c>
      <c r="I95" s="1">
        <f t="shared" si="8"/>
        <v>0.11547005383792516</v>
      </c>
      <c r="J95" s="1">
        <f>Parametri!$D$8</f>
        <v>0.11547005383792516</v>
      </c>
    </row>
    <row r="96" spans="1:10" ht="17.25" customHeight="1" x14ac:dyDescent="0.3">
      <c r="A96" s="7">
        <f t="shared" si="11"/>
        <v>505</v>
      </c>
      <c r="D96" s="8">
        <f t="shared" si="7"/>
        <v>1712</v>
      </c>
      <c r="E96" s="1">
        <v>856</v>
      </c>
      <c r="F96" s="11">
        <f>IF(C96=0, Parametri!$D$8, ABS(B96-C96)/(2*SQRT(3)))</f>
        <v>0.11547005383792516</v>
      </c>
      <c r="G96" s="1">
        <f>(A96-335)+135.8+(Parametri!$A$5/2)</f>
        <v>305.8</v>
      </c>
      <c r="H96" s="1">
        <f>(E96-192)-('Dati (2)'!A96-Parametri!$A$11)+Parametri!$A$2</f>
        <v>159</v>
      </c>
      <c r="I96" s="1">
        <f t="shared" si="8"/>
        <v>0.11547005383792516</v>
      </c>
      <c r="J96" s="1">
        <f>Parametri!$D$8</f>
        <v>0.11547005383792516</v>
      </c>
    </row>
    <row r="97" spans="1:11" ht="17.25" customHeight="1" x14ac:dyDescent="0.3">
      <c r="A97" s="7">
        <f t="shared" si="11"/>
        <v>515</v>
      </c>
      <c r="D97" s="8">
        <f t="shared" si="7"/>
        <v>1718</v>
      </c>
      <c r="E97" s="1">
        <v>859</v>
      </c>
      <c r="F97" s="11">
        <f>IF(C97=0, Parametri!$D$8, ABS(B97-C97)/(2*SQRT(3)))</f>
        <v>0.11547005383792516</v>
      </c>
      <c r="G97" s="1">
        <f>(A97-335)+135.8+(Parametri!$A$5/2)</f>
        <v>315.8</v>
      </c>
      <c r="H97" s="1">
        <f>(E97-192)-('Dati (2)'!A97-Parametri!$A$11)+Parametri!$A$2</f>
        <v>152</v>
      </c>
      <c r="I97" s="1">
        <f t="shared" si="8"/>
        <v>0.11547005383792516</v>
      </c>
      <c r="J97" s="1">
        <f>Parametri!$D$8</f>
        <v>0.11547005383792516</v>
      </c>
    </row>
    <row r="98" spans="1:11" ht="17.25" customHeight="1" x14ac:dyDescent="0.3">
      <c r="A98" s="7">
        <f t="shared" si="11"/>
        <v>525</v>
      </c>
      <c r="D98" s="8">
        <f t="shared" ref="D98:D125" si="12">B98+2*E98</f>
        <v>1717</v>
      </c>
      <c r="E98" s="1">
        <v>858.5</v>
      </c>
      <c r="F98" s="11">
        <f>IF(C98=0, Parametri!$D$8, ABS(B98-C98)/(2*SQRT(3)))</f>
        <v>0.11547005383792516</v>
      </c>
      <c r="G98" s="1">
        <f>(A98-335)+135.8+(Parametri!$A$5/2)</f>
        <v>325.8</v>
      </c>
      <c r="H98" s="1">
        <f>(E98-192)-('Dati (2)'!A98-Parametri!$A$11)+Parametri!$A$2</f>
        <v>141.5</v>
      </c>
      <c r="I98" s="1">
        <f t="shared" ref="I98:I125" si="13">F98</f>
        <v>0.11547005383792516</v>
      </c>
      <c r="J98" s="1">
        <f>Parametri!$D$8</f>
        <v>0.11547005383792516</v>
      </c>
      <c r="K98" s="5">
        <f>H98-1</f>
        <v>140.5</v>
      </c>
    </row>
    <row r="99" spans="1:11" ht="17.25" customHeight="1" x14ac:dyDescent="0.3">
      <c r="A99" s="7">
        <f t="shared" si="11"/>
        <v>535</v>
      </c>
      <c r="D99" s="8">
        <f t="shared" si="12"/>
        <v>1749</v>
      </c>
      <c r="E99" s="1">
        <v>874.5</v>
      </c>
      <c r="F99" s="11">
        <f>IF(C99=0, Parametri!$D$8, ABS(B99-C99)/(2*SQRT(3)))</f>
        <v>0.11547005383792516</v>
      </c>
      <c r="G99" s="1">
        <f>(A99-335)+135.8+(Parametri!$A$5/2)</f>
        <v>335.8</v>
      </c>
      <c r="H99" s="1">
        <f>(E99-192)-('Dati (2)'!A99-Parametri!$A$11)+Parametri!$A$2</f>
        <v>147.5</v>
      </c>
      <c r="I99" s="1">
        <f t="shared" si="13"/>
        <v>0.11547005383792516</v>
      </c>
      <c r="J99" s="1">
        <f>Parametri!$D$8</f>
        <v>0.11547005383792516</v>
      </c>
      <c r="K99" s="5">
        <f t="shared" ref="K99:K125" si="14">H99-1</f>
        <v>146.5</v>
      </c>
    </row>
    <row r="100" spans="1:11" ht="17.25" customHeight="1" x14ac:dyDescent="0.3">
      <c r="A100" s="7">
        <f t="shared" si="11"/>
        <v>545</v>
      </c>
      <c r="D100" s="8">
        <f t="shared" si="12"/>
        <v>1753</v>
      </c>
      <c r="E100" s="1">
        <v>876.5</v>
      </c>
      <c r="F100" s="11">
        <f>IF(C100=0, Parametri!$D$8, ABS(B100-C100)/(2*SQRT(3)))</f>
        <v>0.11547005383792516</v>
      </c>
      <c r="G100" s="1">
        <f>(A100-335)+135.8+(Parametri!$A$5/2)</f>
        <v>345.8</v>
      </c>
      <c r="H100" s="1">
        <f>(E100-192)-('Dati (2)'!A100-Parametri!$A$11)+Parametri!$A$2</f>
        <v>139.5</v>
      </c>
      <c r="I100" s="1">
        <f t="shared" si="13"/>
        <v>0.11547005383792516</v>
      </c>
      <c r="J100" s="1">
        <f>Parametri!$D$8</f>
        <v>0.11547005383792516</v>
      </c>
      <c r="K100" s="5">
        <f t="shared" si="14"/>
        <v>138.5</v>
      </c>
    </row>
    <row r="101" spans="1:11" ht="17.25" customHeight="1" x14ac:dyDescent="0.3">
      <c r="A101" s="7">
        <f t="shared" si="11"/>
        <v>555</v>
      </c>
      <c r="D101" s="8">
        <f t="shared" si="12"/>
        <v>1768</v>
      </c>
      <c r="E101" s="1">
        <v>884</v>
      </c>
      <c r="F101" s="11">
        <f>IF(C101=0, Parametri!$D$8, ABS(B101-C101)/(2*SQRT(3)))</f>
        <v>0.11547005383792516</v>
      </c>
      <c r="G101" s="1">
        <f>(A101-335)+135.8+(Parametri!$A$5/2)</f>
        <v>355.8</v>
      </c>
      <c r="H101" s="1">
        <f>(E101-192)-('Dati (2)'!A101-Parametri!$A$11)+Parametri!$A$2</f>
        <v>137</v>
      </c>
      <c r="I101" s="1">
        <f t="shared" si="13"/>
        <v>0.11547005383792516</v>
      </c>
      <c r="J101" s="1">
        <f>Parametri!$D$8</f>
        <v>0.11547005383792516</v>
      </c>
      <c r="K101" s="5">
        <f t="shared" si="14"/>
        <v>136</v>
      </c>
    </row>
    <row r="102" spans="1:11" ht="17.25" customHeight="1" x14ac:dyDescent="0.3">
      <c r="A102" s="7">
        <f t="shared" si="11"/>
        <v>565</v>
      </c>
      <c r="D102" s="8">
        <f t="shared" si="12"/>
        <v>1778</v>
      </c>
      <c r="E102" s="1">
        <v>889</v>
      </c>
      <c r="F102" s="11">
        <f>IF(C102=0, Parametri!$D$8, ABS(B102-C102)/(2*SQRT(3)))</f>
        <v>0.11547005383792516</v>
      </c>
      <c r="G102" s="1">
        <f>(A102-335)+135.8+(Parametri!$A$5/2)</f>
        <v>365.8</v>
      </c>
      <c r="H102" s="1">
        <f>(E102-192)-('Dati (2)'!A102-Parametri!$A$11)+Parametri!$A$2</f>
        <v>132</v>
      </c>
      <c r="I102" s="1">
        <f t="shared" si="13"/>
        <v>0.11547005383792516</v>
      </c>
      <c r="J102" s="1">
        <f>Parametri!$D$8</f>
        <v>0.11547005383792516</v>
      </c>
      <c r="K102" s="5">
        <f t="shared" si="14"/>
        <v>131</v>
      </c>
    </row>
    <row r="103" spans="1:11" ht="17.25" customHeight="1" x14ac:dyDescent="0.3">
      <c r="A103" s="7">
        <f t="shared" si="11"/>
        <v>575</v>
      </c>
      <c r="D103" s="8">
        <f t="shared" si="12"/>
        <v>1789</v>
      </c>
      <c r="E103" s="1">
        <v>894.5</v>
      </c>
      <c r="F103" s="11">
        <f>IF(C103=0, Parametri!$D$8, ABS(B103-C103)/(2*SQRT(3)))</f>
        <v>0.11547005383792516</v>
      </c>
      <c r="G103" s="1">
        <f>(A103-335)+135.8+(Parametri!$A$5/2)</f>
        <v>375.8</v>
      </c>
      <c r="H103" s="1">
        <f>(E103-192)-('Dati (2)'!A103-Parametri!$A$11)+Parametri!$A$2</f>
        <v>127.5</v>
      </c>
      <c r="I103" s="1">
        <f t="shared" si="13"/>
        <v>0.11547005383792516</v>
      </c>
      <c r="J103" s="1">
        <f>Parametri!$D$8</f>
        <v>0.11547005383792516</v>
      </c>
      <c r="K103" s="5">
        <f t="shared" si="14"/>
        <v>126.5</v>
      </c>
    </row>
    <row r="104" spans="1:11" ht="17.25" customHeight="1" x14ac:dyDescent="0.3">
      <c r="A104" s="7">
        <f t="shared" ref="A104:A113" si="15">A103+20</f>
        <v>595</v>
      </c>
      <c r="D104" s="8">
        <f t="shared" si="12"/>
        <v>1813</v>
      </c>
      <c r="E104" s="1">
        <v>906.5</v>
      </c>
      <c r="F104" s="11">
        <f>IF(C104=0, Parametri!$D$8, ABS(B104-C104)/(2*SQRT(3)))</f>
        <v>0.11547005383792516</v>
      </c>
      <c r="G104" s="1">
        <f>(A104-335)+135.8+(Parametri!$A$5/2)</f>
        <v>395.8</v>
      </c>
      <c r="H104" s="1">
        <f>(E104-192)-('Dati (2)'!A104-Parametri!$A$11)+Parametri!$A$2</f>
        <v>119.5</v>
      </c>
      <c r="I104" s="1">
        <f t="shared" si="13"/>
        <v>0.11547005383792516</v>
      </c>
      <c r="J104" s="1">
        <f>Parametri!$D$8</f>
        <v>0.11547005383792516</v>
      </c>
      <c r="K104" s="5">
        <f t="shared" si="14"/>
        <v>118.5</v>
      </c>
    </row>
    <row r="105" spans="1:11" ht="17.25" customHeight="1" x14ac:dyDescent="0.3">
      <c r="A105" s="7">
        <f t="shared" si="15"/>
        <v>615</v>
      </c>
      <c r="D105" s="8">
        <f t="shared" si="12"/>
        <v>1849</v>
      </c>
      <c r="E105" s="1">
        <v>924.5</v>
      </c>
      <c r="F105" s="11">
        <f>IF(C105=0, Parametri!$D$8, ABS(B105-C105)/(2*SQRT(3)))</f>
        <v>0.11547005383792516</v>
      </c>
      <c r="G105" s="1">
        <f>(A105-335)+135.8+(Parametri!$A$5/2)</f>
        <v>415.8</v>
      </c>
      <c r="H105" s="1">
        <f>(E105-192)-('Dati (2)'!A105-Parametri!$A$11)+Parametri!$A$2</f>
        <v>117.5</v>
      </c>
      <c r="I105" s="1">
        <f t="shared" si="13"/>
        <v>0.11547005383792516</v>
      </c>
      <c r="J105" s="1">
        <f>Parametri!$D$8</f>
        <v>0.11547005383792516</v>
      </c>
      <c r="K105" s="5">
        <f t="shared" si="14"/>
        <v>116.5</v>
      </c>
    </row>
    <row r="106" spans="1:11" ht="17.25" customHeight="1" x14ac:dyDescent="0.3">
      <c r="A106" s="7">
        <f t="shared" si="15"/>
        <v>635</v>
      </c>
      <c r="D106" s="8">
        <f t="shared" si="12"/>
        <v>1875</v>
      </c>
      <c r="E106" s="1">
        <v>937.5</v>
      </c>
      <c r="F106" s="11">
        <f>IF(C106=0, Parametri!$D$8, ABS(B106-C106)/(2*SQRT(3)))</f>
        <v>0.11547005383792516</v>
      </c>
      <c r="G106" s="1">
        <f>(A106-335)+135.8+(Parametri!$A$5/2)</f>
        <v>435.8</v>
      </c>
      <c r="H106" s="1">
        <f>(E106-192)-('Dati (2)'!A106-Parametri!$A$11)+Parametri!$A$2</f>
        <v>110.5</v>
      </c>
      <c r="I106" s="1">
        <f t="shared" si="13"/>
        <v>0.11547005383792516</v>
      </c>
      <c r="J106" s="1">
        <f>Parametri!$D$8</f>
        <v>0.11547005383792516</v>
      </c>
      <c r="K106" s="5">
        <f t="shared" si="14"/>
        <v>109.5</v>
      </c>
    </row>
    <row r="107" spans="1:11" ht="17.25" customHeight="1" x14ac:dyDescent="0.3">
      <c r="A107" s="7">
        <f t="shared" si="15"/>
        <v>655</v>
      </c>
      <c r="D107" s="8">
        <f t="shared" si="12"/>
        <v>1904</v>
      </c>
      <c r="E107" s="1">
        <v>952</v>
      </c>
      <c r="F107" s="11">
        <f>IF(C107=0, Parametri!$D$8, ABS(B107-C107)/(2*SQRT(3)))</f>
        <v>0.11547005383792516</v>
      </c>
      <c r="G107" s="1">
        <f>(A107-335)+135.8+(Parametri!$A$5/2)</f>
        <v>455.8</v>
      </c>
      <c r="H107" s="1">
        <f>(E107-192)-('Dati (2)'!A107-Parametri!$A$11)+Parametri!$A$2</f>
        <v>105</v>
      </c>
      <c r="I107" s="1">
        <f t="shared" si="13"/>
        <v>0.11547005383792516</v>
      </c>
      <c r="J107" s="1">
        <f>Parametri!$D$8</f>
        <v>0.11547005383792516</v>
      </c>
      <c r="K107" s="5">
        <f t="shared" si="14"/>
        <v>104</v>
      </c>
    </row>
    <row r="108" spans="1:11" ht="17.25" customHeight="1" x14ac:dyDescent="0.3">
      <c r="A108" s="7">
        <f t="shared" si="15"/>
        <v>675</v>
      </c>
      <c r="D108" s="8">
        <f t="shared" si="12"/>
        <v>1937</v>
      </c>
      <c r="E108" s="1">
        <v>968.5</v>
      </c>
      <c r="F108" s="11">
        <f>IF(C108=0, Parametri!$D$8, ABS(B108-C108)/(2*SQRT(3)))</f>
        <v>0.11547005383792516</v>
      </c>
      <c r="G108" s="1">
        <f>(A108-335)+135.8+(Parametri!$A$5/2)</f>
        <v>475.8</v>
      </c>
      <c r="H108" s="1">
        <f>(E108-192)-('Dati (2)'!A108-Parametri!$A$11)+Parametri!$A$2</f>
        <v>101.5</v>
      </c>
      <c r="I108" s="1">
        <f t="shared" si="13"/>
        <v>0.11547005383792516</v>
      </c>
      <c r="J108" s="1">
        <f>Parametri!$D$8</f>
        <v>0.11547005383792516</v>
      </c>
      <c r="K108" s="5">
        <f t="shared" si="14"/>
        <v>100.5</v>
      </c>
    </row>
    <row r="109" spans="1:11" ht="17.25" customHeight="1" x14ac:dyDescent="0.3">
      <c r="A109" s="7">
        <f t="shared" si="15"/>
        <v>695</v>
      </c>
      <c r="D109" s="8">
        <f t="shared" si="12"/>
        <v>1969</v>
      </c>
      <c r="E109" s="1">
        <v>984.5</v>
      </c>
      <c r="F109" s="11">
        <f>IF(C109=0, Parametri!$D$8, ABS(B109-C109)/(2*SQRT(3)))</f>
        <v>0.11547005383792516</v>
      </c>
      <c r="G109" s="1">
        <f>(A109-335)+135.8+(Parametri!$A$5/2)</f>
        <v>495.8</v>
      </c>
      <c r="H109" s="1">
        <f>(E109-192)-('Dati (2)'!A109-Parametri!$A$11)+Parametri!$A$2</f>
        <v>97.5</v>
      </c>
      <c r="I109" s="1">
        <f t="shared" si="13"/>
        <v>0.11547005383792516</v>
      </c>
      <c r="J109" s="1">
        <f>Parametri!$D$8</f>
        <v>0.11547005383792516</v>
      </c>
      <c r="K109" s="5">
        <f t="shared" si="14"/>
        <v>96.5</v>
      </c>
    </row>
    <row r="110" spans="1:11" ht="17.25" customHeight="1" x14ac:dyDescent="0.3">
      <c r="A110" s="7">
        <f t="shared" si="15"/>
        <v>715</v>
      </c>
      <c r="D110" s="8">
        <f t="shared" si="12"/>
        <v>2002</v>
      </c>
      <c r="E110" s="1">
        <v>1001</v>
      </c>
      <c r="F110" s="11">
        <f>IF(C110=0, Parametri!$D$8, ABS(B110-C110)/(2*SQRT(3)))</f>
        <v>0.11547005383792516</v>
      </c>
      <c r="G110" s="1">
        <f>(A110-335)+135.8+(Parametri!$A$5/2)</f>
        <v>515.79999999999995</v>
      </c>
      <c r="H110" s="1">
        <f>(E110-192)-('Dati (2)'!A110-Parametri!$A$11)+Parametri!$A$2</f>
        <v>94</v>
      </c>
      <c r="I110" s="1">
        <f t="shared" si="13"/>
        <v>0.11547005383792516</v>
      </c>
      <c r="J110" s="1">
        <f>Parametri!$D$8</f>
        <v>0.11547005383792516</v>
      </c>
      <c r="K110" s="5">
        <f t="shared" si="14"/>
        <v>93</v>
      </c>
    </row>
    <row r="111" spans="1:11" ht="17.25" customHeight="1" x14ac:dyDescent="0.3">
      <c r="A111" s="7">
        <f t="shared" si="15"/>
        <v>735</v>
      </c>
      <c r="D111" s="8">
        <f t="shared" si="12"/>
        <v>2034</v>
      </c>
      <c r="E111" s="1">
        <v>1017</v>
      </c>
      <c r="F111" s="11">
        <f>IF(C111=0, Parametri!$D$8, ABS(B111-C111)/(2*SQRT(3)))</f>
        <v>0.11547005383792516</v>
      </c>
      <c r="G111" s="1">
        <f>(A111-335)+135.8+(Parametri!$A$5/2)</f>
        <v>535.79999999999995</v>
      </c>
      <c r="H111" s="1">
        <f>(E111-192)-('Dati (2)'!A111-Parametri!$A$11)+Parametri!$A$2</f>
        <v>90</v>
      </c>
      <c r="I111" s="1">
        <f t="shared" si="13"/>
        <v>0.11547005383792516</v>
      </c>
      <c r="J111" s="1">
        <f>Parametri!$D$8</f>
        <v>0.11547005383792516</v>
      </c>
      <c r="K111" s="5">
        <f t="shared" si="14"/>
        <v>89</v>
      </c>
    </row>
    <row r="112" spans="1:11" ht="17.25" customHeight="1" x14ac:dyDescent="0.3">
      <c r="A112" s="7">
        <f t="shared" si="15"/>
        <v>755</v>
      </c>
      <c r="D112" s="8">
        <f t="shared" si="12"/>
        <v>2067</v>
      </c>
      <c r="E112" s="1">
        <v>1033.5</v>
      </c>
      <c r="F112" s="11">
        <f>IF(C112=0, Parametri!$D$8, ABS(B112-C112)/(2*SQRT(3)))</f>
        <v>0.11547005383792516</v>
      </c>
      <c r="G112" s="1">
        <f>(A112-335)+135.8+(Parametri!$A$5/2)</f>
        <v>555.79999999999995</v>
      </c>
      <c r="H112" s="1">
        <f>(E112-192)-('Dati (2)'!A112-Parametri!$A$11)+Parametri!$A$2</f>
        <v>86.5</v>
      </c>
      <c r="I112" s="1">
        <f t="shared" si="13"/>
        <v>0.11547005383792516</v>
      </c>
      <c r="J112" s="1">
        <f>Parametri!$D$8</f>
        <v>0.11547005383792516</v>
      </c>
      <c r="K112" s="5">
        <f t="shared" si="14"/>
        <v>85.5</v>
      </c>
    </row>
    <row r="113" spans="1:11" ht="17.25" customHeight="1" x14ac:dyDescent="0.3">
      <c r="A113" s="7">
        <f t="shared" si="15"/>
        <v>775</v>
      </c>
      <c r="D113" s="8">
        <f t="shared" si="12"/>
        <v>2100</v>
      </c>
      <c r="E113" s="1">
        <v>1050</v>
      </c>
      <c r="F113" s="11">
        <f>IF(C113=0, Parametri!$D$8, ABS(B113-C113)/(2*SQRT(3)))</f>
        <v>0.11547005383792516</v>
      </c>
      <c r="G113" s="1">
        <f>(A113-335)+135.8+(Parametri!$A$5/2)</f>
        <v>575.79999999999995</v>
      </c>
      <c r="H113" s="1">
        <f>(E113-192)-('Dati (2)'!A113-Parametri!$A$11)+Parametri!$A$2</f>
        <v>83</v>
      </c>
      <c r="I113" s="1">
        <f t="shared" si="13"/>
        <v>0.11547005383792516</v>
      </c>
      <c r="J113" s="1">
        <f>Parametri!$D$8</f>
        <v>0.11547005383792516</v>
      </c>
      <c r="K113" s="5">
        <f t="shared" si="14"/>
        <v>82</v>
      </c>
    </row>
    <row r="114" spans="1:11" ht="17.25" customHeight="1" x14ac:dyDescent="0.3">
      <c r="A114" s="7">
        <f t="shared" ref="A114:A119" si="16">A113+50</f>
        <v>825</v>
      </c>
      <c r="D114" s="8">
        <f t="shared" si="12"/>
        <v>2187</v>
      </c>
      <c r="E114" s="1">
        <v>1093.5</v>
      </c>
      <c r="F114" s="11">
        <f>IF(C114=0, Parametri!$D$8, ABS(B114-C114)/(2*SQRT(3)))</f>
        <v>0.11547005383792516</v>
      </c>
      <c r="G114" s="1">
        <f>(A114-335)+135.8+(Parametri!$A$5/2)</f>
        <v>625.79999999999995</v>
      </c>
      <c r="H114" s="1">
        <f>(E114-192)-('Dati (2)'!A114-Parametri!$A$11)+Parametri!$A$2</f>
        <v>76.5</v>
      </c>
      <c r="I114" s="1">
        <f t="shared" si="13"/>
        <v>0.11547005383792516</v>
      </c>
      <c r="J114" s="1">
        <f>Parametri!$D$8</f>
        <v>0.11547005383792516</v>
      </c>
      <c r="K114" s="5">
        <f t="shared" si="14"/>
        <v>75.5</v>
      </c>
    </row>
    <row r="115" spans="1:11" ht="17.25" customHeight="1" x14ac:dyDescent="0.3">
      <c r="A115" s="7">
        <f t="shared" si="16"/>
        <v>875</v>
      </c>
      <c r="D115" s="8">
        <f t="shared" si="12"/>
        <v>2276</v>
      </c>
      <c r="E115" s="1">
        <v>1138</v>
      </c>
      <c r="F115" s="11">
        <f>IF(C115=0, Parametri!$D$8, ABS(B115-C115)/(2*SQRT(3)))</f>
        <v>0.11547005383792516</v>
      </c>
      <c r="G115" s="1">
        <f>(A115-335)+135.8+(Parametri!$A$5/2)</f>
        <v>675.8</v>
      </c>
      <c r="H115" s="1">
        <f>(E115-192)-('Dati (2)'!A115-Parametri!$A$11)+Parametri!$A$2</f>
        <v>71</v>
      </c>
      <c r="I115" s="1">
        <f t="shared" si="13"/>
        <v>0.11547005383792516</v>
      </c>
      <c r="J115" s="1">
        <f>Parametri!$D$8</f>
        <v>0.11547005383792516</v>
      </c>
      <c r="K115" s="5">
        <f t="shared" si="14"/>
        <v>70</v>
      </c>
    </row>
    <row r="116" spans="1:11" ht="17.25" customHeight="1" x14ac:dyDescent="0.3">
      <c r="A116" s="7">
        <f t="shared" si="16"/>
        <v>925</v>
      </c>
      <c r="D116" s="8">
        <f t="shared" si="12"/>
        <v>2369</v>
      </c>
      <c r="E116" s="1">
        <v>1184.5</v>
      </c>
      <c r="F116" s="11">
        <f>IF(C116=0, Parametri!$D$8, ABS(B116-C116)/(2*SQRT(3)))</f>
        <v>0.11547005383792516</v>
      </c>
      <c r="G116" s="1">
        <f>(A116-335)+135.8+(Parametri!$A$5/2)</f>
        <v>725.8</v>
      </c>
      <c r="H116" s="1">
        <f>(E116-192)-('Dati (2)'!A116-Parametri!$A$11)+Parametri!$A$2</f>
        <v>67.5</v>
      </c>
      <c r="I116" s="1">
        <f t="shared" si="13"/>
        <v>0.11547005383792516</v>
      </c>
      <c r="J116" s="1">
        <f>Parametri!$D$8</f>
        <v>0.11547005383792516</v>
      </c>
      <c r="K116" s="5">
        <f t="shared" si="14"/>
        <v>66.5</v>
      </c>
    </row>
    <row r="117" spans="1:11" ht="17.25" customHeight="1" x14ac:dyDescent="0.3">
      <c r="A117" s="7">
        <f t="shared" si="16"/>
        <v>975</v>
      </c>
      <c r="D117" s="8">
        <f t="shared" si="12"/>
        <v>2456</v>
      </c>
      <c r="E117" s="1">
        <v>1228</v>
      </c>
      <c r="F117" s="11">
        <f>IF(C117=0, Parametri!$D$8, ABS(B117-C117)/(2*SQRT(3)))</f>
        <v>0.11547005383792516</v>
      </c>
      <c r="G117" s="1">
        <f>(A117-335)+135.8+(Parametri!$A$5/2)</f>
        <v>775.8</v>
      </c>
      <c r="H117" s="1">
        <f>(E117-192)-('Dati (2)'!A117-Parametri!$A$11)+Parametri!$A$2</f>
        <v>61</v>
      </c>
      <c r="I117" s="1">
        <f t="shared" si="13"/>
        <v>0.11547005383792516</v>
      </c>
      <c r="J117" s="1">
        <f>Parametri!$D$8</f>
        <v>0.11547005383792516</v>
      </c>
      <c r="K117" s="5">
        <f t="shared" si="14"/>
        <v>60</v>
      </c>
    </row>
    <row r="118" spans="1:11" ht="17.25" customHeight="1" x14ac:dyDescent="0.3">
      <c r="A118" s="7">
        <f t="shared" si="16"/>
        <v>1025</v>
      </c>
      <c r="D118" s="8">
        <f t="shared" si="12"/>
        <v>2550</v>
      </c>
      <c r="E118" s="1">
        <v>1275</v>
      </c>
      <c r="F118" s="11">
        <f>IF(C118=0, Parametri!$D$8, ABS(B118-C118)/(2*SQRT(3)))</f>
        <v>0.11547005383792516</v>
      </c>
      <c r="G118" s="1">
        <f>(A118-335)+135.8+(Parametri!$A$5/2)</f>
        <v>825.8</v>
      </c>
      <c r="H118" s="1">
        <f>(E118-192)-('Dati (2)'!A118-Parametri!$A$11)+Parametri!$A$2</f>
        <v>58</v>
      </c>
      <c r="I118" s="1">
        <f t="shared" si="13"/>
        <v>0.11547005383792516</v>
      </c>
      <c r="J118" s="1">
        <f>Parametri!$D$8</f>
        <v>0.11547005383792516</v>
      </c>
      <c r="K118" s="5">
        <f t="shared" si="14"/>
        <v>57</v>
      </c>
    </row>
    <row r="119" spans="1:11" ht="17.25" customHeight="1" x14ac:dyDescent="0.3">
      <c r="A119" s="7">
        <f t="shared" si="16"/>
        <v>1075</v>
      </c>
      <c r="D119" s="8">
        <f t="shared" si="12"/>
        <v>2646</v>
      </c>
      <c r="E119" s="1">
        <v>1323</v>
      </c>
      <c r="F119" s="11">
        <f>IF(C119=0, Parametri!$D$8, ABS(B119-C119)/(2*SQRT(3)))</f>
        <v>0.11547005383792516</v>
      </c>
      <c r="G119" s="1">
        <f>(A119-335)+135.8+(Parametri!$A$5/2)</f>
        <v>875.8</v>
      </c>
      <c r="H119" s="1">
        <f>(E119-192)-('Dati (2)'!A119-Parametri!$A$11)+Parametri!$A$2</f>
        <v>56</v>
      </c>
      <c r="I119" s="1">
        <f t="shared" si="13"/>
        <v>0.11547005383792516</v>
      </c>
      <c r="J119" s="1">
        <f>Parametri!$D$8</f>
        <v>0.11547005383792516</v>
      </c>
      <c r="K119" s="5">
        <f t="shared" si="14"/>
        <v>55</v>
      </c>
    </row>
    <row r="120" spans="1:11" ht="17.25" customHeight="1" x14ac:dyDescent="0.3">
      <c r="A120" s="7">
        <f t="shared" ref="A120:A125" si="17">A119+100</f>
        <v>1175</v>
      </c>
      <c r="D120" s="8">
        <f t="shared" si="12"/>
        <v>2836</v>
      </c>
      <c r="E120" s="1">
        <v>1418</v>
      </c>
      <c r="F120" s="11">
        <f>IF(C120=0, Parametri!$D$8, ABS(B120-C120)/(2*SQRT(3)))</f>
        <v>0.11547005383792516</v>
      </c>
      <c r="G120" s="1">
        <f>(A120-335)+135.8+(Parametri!$A$5/2)</f>
        <v>975.8</v>
      </c>
      <c r="H120" s="1">
        <f>(E120-192)-('Dati (2)'!A120-Parametri!$A$11)+Parametri!$A$2</f>
        <v>51</v>
      </c>
      <c r="I120" s="1">
        <f t="shared" si="13"/>
        <v>0.11547005383792516</v>
      </c>
      <c r="J120" s="1">
        <f>Parametri!$D$8</f>
        <v>0.11547005383792516</v>
      </c>
      <c r="K120" s="5">
        <f t="shared" si="14"/>
        <v>50</v>
      </c>
    </row>
    <row r="121" spans="1:11" ht="17.25" customHeight="1" x14ac:dyDescent="0.3">
      <c r="A121" s="7">
        <f t="shared" si="17"/>
        <v>1275</v>
      </c>
      <c r="D121" s="8">
        <f t="shared" si="12"/>
        <v>3020</v>
      </c>
      <c r="E121" s="1">
        <v>1510</v>
      </c>
      <c r="F121" s="11">
        <f>IF(C121=0, Parametri!$D$8, ABS(B121-C121)/(2*SQRT(3)))</f>
        <v>0.11547005383792516</v>
      </c>
      <c r="G121" s="1">
        <f>(A121-335)+135.8+(Parametri!$A$5/2)</f>
        <v>1075.8</v>
      </c>
      <c r="H121" s="1">
        <f>(E121-192)-('Dati (2)'!A121-Parametri!$A$11)+Parametri!$A$2</f>
        <v>43</v>
      </c>
      <c r="I121" s="1">
        <f t="shared" si="13"/>
        <v>0.11547005383792516</v>
      </c>
      <c r="J121" s="1">
        <f>Parametri!$D$8</f>
        <v>0.11547005383792516</v>
      </c>
      <c r="K121" s="5">
        <f t="shared" si="14"/>
        <v>42</v>
      </c>
    </row>
    <row r="122" spans="1:11" ht="17.25" customHeight="1" x14ac:dyDescent="0.3">
      <c r="A122" s="7">
        <f t="shared" si="17"/>
        <v>1375</v>
      </c>
      <c r="D122" s="8">
        <f t="shared" si="12"/>
        <v>3218</v>
      </c>
      <c r="E122" s="1">
        <v>1609</v>
      </c>
      <c r="F122" s="11">
        <f>IF(C122=0, Parametri!$D$8, ABS(B122-C122)/(2*SQRT(3)))</f>
        <v>0.11547005383792516</v>
      </c>
      <c r="G122" s="1">
        <f>(A122-335)+135.8+(Parametri!$A$5/2)</f>
        <v>1175.8</v>
      </c>
      <c r="H122" s="1">
        <f>(E122-192)-('Dati (2)'!A122-Parametri!$A$11)+Parametri!$A$2</f>
        <v>42</v>
      </c>
      <c r="I122" s="1">
        <f t="shared" si="13"/>
        <v>0.11547005383792516</v>
      </c>
      <c r="J122" s="1">
        <f>Parametri!$D$8</f>
        <v>0.11547005383792516</v>
      </c>
      <c r="K122" s="5">
        <f t="shared" si="14"/>
        <v>41</v>
      </c>
    </row>
    <row r="123" spans="1:11" ht="17.25" customHeight="1" x14ac:dyDescent="0.3">
      <c r="A123" s="7">
        <f t="shared" si="17"/>
        <v>1475</v>
      </c>
      <c r="D123" s="8">
        <f t="shared" si="12"/>
        <v>3414</v>
      </c>
      <c r="E123" s="1">
        <v>1707</v>
      </c>
      <c r="F123" s="11">
        <f>IF(C123=0, Parametri!$D$8, ABS(B123-C123)/(2*SQRT(3)))</f>
        <v>0.11547005383792516</v>
      </c>
      <c r="G123" s="1">
        <f>(A123-335)+135.8+(Parametri!$A$5/2)</f>
        <v>1275.8</v>
      </c>
      <c r="H123" s="1">
        <f>(E123-192)-('Dati (2)'!A123-Parametri!$A$11)+Parametri!$A$2</f>
        <v>40</v>
      </c>
      <c r="I123" s="1">
        <f t="shared" si="13"/>
        <v>0.11547005383792516</v>
      </c>
      <c r="J123" s="1">
        <f>Parametri!$D$8</f>
        <v>0.11547005383792516</v>
      </c>
      <c r="K123" s="5">
        <f t="shared" si="14"/>
        <v>39</v>
      </c>
    </row>
    <row r="124" spans="1:11" ht="17.25" customHeight="1" x14ac:dyDescent="0.3">
      <c r="A124" s="7">
        <f t="shared" si="17"/>
        <v>1575</v>
      </c>
      <c r="D124" s="8">
        <f t="shared" si="12"/>
        <v>3606</v>
      </c>
      <c r="E124" s="1">
        <v>1803</v>
      </c>
      <c r="F124" s="11">
        <f>IF(C124=0, Parametri!$D$8, ABS(B124-C124)/(2*SQRT(3)))</f>
        <v>0.11547005383792516</v>
      </c>
      <c r="G124" s="1">
        <f>(A124-335)+135.8+(Parametri!$A$5/2)</f>
        <v>1375.8</v>
      </c>
      <c r="H124" s="1">
        <f>(E124-192)-('Dati (2)'!A124-Parametri!$A$11)+Parametri!$A$2</f>
        <v>36</v>
      </c>
      <c r="I124" s="1">
        <f t="shared" si="13"/>
        <v>0.11547005383792516</v>
      </c>
      <c r="J124" s="1">
        <f>Parametri!$D$8</f>
        <v>0.11547005383792516</v>
      </c>
      <c r="K124" s="5">
        <f t="shared" si="14"/>
        <v>35</v>
      </c>
    </row>
    <row r="125" spans="1:11" ht="17.25" customHeight="1" x14ac:dyDescent="0.3">
      <c r="A125" s="7">
        <f t="shared" si="17"/>
        <v>1675</v>
      </c>
      <c r="D125" s="8">
        <f t="shared" si="12"/>
        <v>3804</v>
      </c>
      <c r="E125" s="1">
        <v>1902</v>
      </c>
      <c r="F125" s="11">
        <f>IF(C125=0, Parametri!$D$8, ABS(B125-C125)/(2*SQRT(3)))</f>
        <v>0.11547005383792516</v>
      </c>
      <c r="G125" s="1">
        <f>(A125-335)+135.8+(Parametri!$A$5/2)</f>
        <v>1475.8</v>
      </c>
      <c r="H125" s="1">
        <f>(E125-192)-('Dati (2)'!A125-Parametri!$A$11)+Parametri!$A$2</f>
        <v>35</v>
      </c>
      <c r="I125" s="1">
        <f t="shared" si="13"/>
        <v>0.11547005383792516</v>
      </c>
      <c r="J125" s="1">
        <f>Parametri!$D$8</f>
        <v>0.11547005383792516</v>
      </c>
      <c r="K125" s="5">
        <f t="shared" si="14"/>
        <v>34</v>
      </c>
    </row>
    <row r="126" spans="1:11" ht="17.25" customHeight="1" x14ac:dyDescent="0.3">
      <c r="H126" s="1"/>
    </row>
    <row r="127" spans="1:11" ht="17.25" customHeight="1" x14ac:dyDescent="0.3">
      <c r="H127" s="1"/>
    </row>
    <row r="128" spans="1:11" ht="17.25" customHeight="1" x14ac:dyDescent="0.3">
      <c r="H128" s="1"/>
    </row>
    <row r="129" spans="8:8" ht="17.25" customHeight="1" x14ac:dyDescent="0.3">
      <c r="H129" s="1"/>
    </row>
    <row r="130" spans="8:8" ht="17.25" customHeight="1" x14ac:dyDescent="0.3">
      <c r="H130" s="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0"/>
  <sheetViews>
    <sheetView tabSelected="1" zoomScale="52" zoomScaleNormal="100" workbookViewId="0">
      <selection activeCell="H1" sqref="H1:H1048576"/>
    </sheetView>
  </sheetViews>
  <sheetFormatPr defaultColWidth="8.6640625" defaultRowHeight="14.4" x14ac:dyDescent="0.3"/>
  <cols>
    <col min="1" max="2" width="12.44140625" style="8" customWidth="1"/>
    <col min="3" max="3" width="12.44140625" customWidth="1"/>
    <col min="4" max="5" width="12.44140625" style="8" customWidth="1"/>
    <col min="6" max="6" width="12.44140625" style="1" customWidth="1"/>
    <col min="7" max="7" width="12.44140625" style="8" customWidth="1"/>
    <col min="8" max="10" width="12.44140625" style="1" customWidth="1"/>
  </cols>
  <sheetData>
    <row r="1" spans="1:10" ht="17.25" customHeight="1" x14ac:dyDescent="0.3">
      <c r="A1" s="8" t="s">
        <v>14</v>
      </c>
      <c r="B1" s="8" t="s">
        <v>15</v>
      </c>
      <c r="C1" t="s">
        <v>16</v>
      </c>
      <c r="D1" s="8" t="s">
        <v>18</v>
      </c>
      <c r="E1" s="8" t="s">
        <v>9</v>
      </c>
      <c r="F1" s="1" t="s">
        <v>19</v>
      </c>
      <c r="G1" s="8" t="s">
        <v>20</v>
      </c>
      <c r="H1" s="1" t="s">
        <v>21</v>
      </c>
      <c r="I1" s="1" t="s">
        <v>22</v>
      </c>
    </row>
    <row r="2" spans="1:10" ht="17.25" customHeight="1" x14ac:dyDescent="0.3">
      <c r="A2" s="7">
        <v>251</v>
      </c>
      <c r="B2" s="8">
        <v>1802</v>
      </c>
      <c r="C2">
        <v>1841</v>
      </c>
      <c r="D2" s="8">
        <v>1821.3956187495346</v>
      </c>
      <c r="E2" s="8">
        <v>11.258330249197703</v>
      </c>
      <c r="F2" s="1">
        <v>232.5</v>
      </c>
      <c r="G2" s="8">
        <v>1568.3956187495346</v>
      </c>
      <c r="H2" s="1">
        <v>0.11547005383792516</v>
      </c>
      <c r="I2" s="1">
        <v>11.258330249197703</v>
      </c>
      <c r="J2" s="8"/>
    </row>
    <row r="3" spans="1:10" ht="17.25" customHeight="1" x14ac:dyDescent="0.3">
      <c r="A3" s="7">
        <v>252</v>
      </c>
      <c r="B3" s="8">
        <v>1719</v>
      </c>
      <c r="C3">
        <v>1836</v>
      </c>
      <c r="D3" s="8">
        <v>1776.5370809527169</v>
      </c>
      <c r="E3" s="8">
        <v>33.774990747593108</v>
      </c>
      <c r="F3" s="1">
        <v>233.5</v>
      </c>
      <c r="G3" s="8">
        <v>1522.5370809527169</v>
      </c>
      <c r="H3" s="1">
        <v>0.11547005383792516</v>
      </c>
      <c r="I3" s="1">
        <v>33.774990747593108</v>
      </c>
      <c r="J3" s="8"/>
    </row>
    <row r="4" spans="1:10" ht="17.25" customHeight="1" x14ac:dyDescent="0.3">
      <c r="A4" s="7">
        <v>253</v>
      </c>
      <c r="B4" s="8">
        <v>1690</v>
      </c>
      <c r="C4">
        <v>1853</v>
      </c>
      <c r="D4" s="8">
        <v>1769.6242539025059</v>
      </c>
      <c r="E4" s="8">
        <v>47.0540469389545</v>
      </c>
      <c r="F4" s="1">
        <v>234.5</v>
      </c>
      <c r="G4" s="8">
        <v>1514.6242539025059</v>
      </c>
      <c r="H4" s="1">
        <v>0.11547005383792516</v>
      </c>
      <c r="I4" s="1">
        <v>47.0540469389545</v>
      </c>
      <c r="J4" s="8"/>
    </row>
    <row r="5" spans="1:10" ht="17.25" customHeight="1" x14ac:dyDescent="0.3">
      <c r="A5" s="7">
        <v>254</v>
      </c>
      <c r="B5" s="8">
        <v>1630</v>
      </c>
      <c r="C5">
        <v>1782</v>
      </c>
      <c r="D5" s="8">
        <v>1704.3063104970304</v>
      </c>
      <c r="E5" s="8">
        <v>43.878620458411561</v>
      </c>
      <c r="F5" s="1">
        <v>235.5</v>
      </c>
      <c r="G5" s="8">
        <v>1448.3063104970304</v>
      </c>
      <c r="H5" s="1">
        <v>0.11547005383792516</v>
      </c>
      <c r="I5" s="1">
        <v>43.878620458411561</v>
      </c>
      <c r="J5" s="8"/>
    </row>
    <row r="6" spans="1:10" ht="17.25" customHeight="1" x14ac:dyDescent="0.3">
      <c r="A6" s="7">
        <v>255</v>
      </c>
      <c r="B6" s="8">
        <v>1605</v>
      </c>
      <c r="C6">
        <v>1745</v>
      </c>
      <c r="D6" s="8">
        <v>1673.5366742321485</v>
      </c>
      <c r="E6" s="8">
        <v>40.414518843273804</v>
      </c>
      <c r="F6" s="1">
        <v>236.5</v>
      </c>
      <c r="G6" s="8">
        <v>1416.5366742321485</v>
      </c>
      <c r="H6" s="1">
        <v>0.11547005383792516</v>
      </c>
      <c r="I6" s="1">
        <v>40.414518843273804</v>
      </c>
      <c r="J6" s="8"/>
    </row>
    <row r="7" spans="1:10" ht="17.25" customHeight="1" x14ac:dyDescent="0.3">
      <c r="A7" s="7">
        <v>256</v>
      </c>
      <c r="B7" s="8">
        <v>1574</v>
      </c>
      <c r="C7">
        <v>1710</v>
      </c>
      <c r="D7" s="8">
        <v>1640.5913567979078</v>
      </c>
      <c r="E7" s="8">
        <v>39.259818304894551</v>
      </c>
      <c r="F7" s="1">
        <v>237.5</v>
      </c>
      <c r="G7" s="8">
        <v>1382.5913567979078</v>
      </c>
      <c r="H7" s="1">
        <v>0.11547005383792516</v>
      </c>
      <c r="I7" s="1">
        <v>39.259818304894551</v>
      </c>
      <c r="J7" s="8"/>
    </row>
    <row r="8" spans="1:10" ht="17.25" customHeight="1" x14ac:dyDescent="0.3">
      <c r="A8" s="7">
        <v>257</v>
      </c>
      <c r="B8" s="8">
        <v>1546</v>
      </c>
      <c r="C8">
        <v>1679</v>
      </c>
      <c r="D8" s="8">
        <v>1611.1281761548335</v>
      </c>
      <c r="E8" s="8">
        <v>38.393792901110118</v>
      </c>
      <c r="F8" s="1">
        <v>238.5</v>
      </c>
      <c r="G8" s="8">
        <v>1352.1281761548335</v>
      </c>
      <c r="H8" s="1">
        <v>0.11547005383792516</v>
      </c>
      <c r="I8" s="1">
        <v>38.393792901110118</v>
      </c>
      <c r="J8" s="8"/>
    </row>
    <row r="9" spans="1:10" ht="17.25" customHeight="1" x14ac:dyDescent="0.3">
      <c r="A9" s="7">
        <v>258</v>
      </c>
      <c r="B9" s="8">
        <v>1525</v>
      </c>
      <c r="C9">
        <v>1629</v>
      </c>
      <c r="D9" s="8">
        <v>1576.1424428014113</v>
      </c>
      <c r="E9" s="8">
        <v>30.02221399786054</v>
      </c>
      <c r="F9" s="1">
        <v>239.5</v>
      </c>
      <c r="G9" s="8">
        <v>1316.1424428014113</v>
      </c>
      <c r="H9" s="1">
        <v>0.11547005383792516</v>
      </c>
      <c r="I9" s="1">
        <v>30.02221399786054</v>
      </c>
      <c r="J9" s="8"/>
    </row>
    <row r="10" spans="1:10" ht="17.25" customHeight="1" x14ac:dyDescent="0.3">
      <c r="A10" s="7">
        <v>259</v>
      </c>
      <c r="B10" s="8">
        <v>1505</v>
      </c>
      <c r="C10">
        <v>1603</v>
      </c>
      <c r="D10" s="8">
        <v>1553.227285364251</v>
      </c>
      <c r="E10" s="8">
        <v>28.290163190291665</v>
      </c>
      <c r="F10" s="1">
        <v>240.5</v>
      </c>
      <c r="G10" s="8">
        <v>1292.227285364251</v>
      </c>
      <c r="H10" s="1">
        <v>0.11547005383792516</v>
      </c>
      <c r="I10" s="1">
        <v>28.290163190291665</v>
      </c>
      <c r="J10" s="8"/>
    </row>
    <row r="11" spans="1:10" ht="17.25" customHeight="1" x14ac:dyDescent="0.3">
      <c r="A11" s="7">
        <v>260</v>
      </c>
      <c r="B11" s="8">
        <v>1467</v>
      </c>
      <c r="C11">
        <v>1572</v>
      </c>
      <c r="D11" s="8">
        <v>1518.5927696390497</v>
      </c>
      <c r="E11" s="8">
        <v>30.310889132455355</v>
      </c>
      <c r="F11" s="1">
        <v>241.5</v>
      </c>
      <c r="G11" s="8">
        <v>1256.5927696390497</v>
      </c>
      <c r="H11" s="1">
        <v>0.11547005383792516</v>
      </c>
      <c r="I11" s="1">
        <v>30.310889132455355</v>
      </c>
      <c r="J11" s="8"/>
    </row>
    <row r="12" spans="1:10" ht="17.25" customHeight="1" x14ac:dyDescent="0.3">
      <c r="A12" s="7">
        <v>261</v>
      </c>
      <c r="B12" s="8">
        <v>1452</v>
      </c>
      <c r="C12">
        <v>1534</v>
      </c>
      <c r="D12" s="8">
        <v>1492.4369333409034</v>
      </c>
      <c r="E12" s="8">
        <v>23.671361036774659</v>
      </c>
      <c r="F12" s="1">
        <v>242.5</v>
      </c>
      <c r="G12" s="8">
        <v>1229.4369333409034</v>
      </c>
      <c r="H12" s="1">
        <v>0.11547005383792516</v>
      </c>
      <c r="I12" s="1">
        <v>23.671361036774659</v>
      </c>
      <c r="J12" s="8"/>
    </row>
    <row r="13" spans="1:10" ht="17.25" customHeight="1" x14ac:dyDescent="0.3">
      <c r="A13" s="7">
        <v>262</v>
      </c>
      <c r="B13" s="8">
        <v>1442</v>
      </c>
      <c r="C13">
        <v>1520</v>
      </c>
      <c r="D13" s="8">
        <v>1480.4864065569802</v>
      </c>
      <c r="E13" s="8">
        <v>22.516660498395407</v>
      </c>
      <c r="F13" s="1">
        <v>243.5</v>
      </c>
      <c r="G13" s="8">
        <v>1216.4864065569802</v>
      </c>
      <c r="H13" s="1">
        <v>0.11547005383792516</v>
      </c>
      <c r="I13" s="1">
        <v>22.516660498395407</v>
      </c>
      <c r="J13" s="8"/>
    </row>
    <row r="14" spans="1:10" ht="17.25" customHeight="1" x14ac:dyDescent="0.3">
      <c r="A14" s="7">
        <v>263</v>
      </c>
      <c r="B14" s="8">
        <v>1402</v>
      </c>
      <c r="C14">
        <v>1485</v>
      </c>
      <c r="D14" s="8">
        <v>1442.9033231647918</v>
      </c>
      <c r="E14" s="8">
        <v>23.96003617136947</v>
      </c>
      <c r="F14" s="1">
        <v>244.5</v>
      </c>
      <c r="G14" s="8">
        <v>1177.9033231647918</v>
      </c>
      <c r="H14" s="1">
        <v>0.11547005383792516</v>
      </c>
      <c r="I14" s="1">
        <v>23.96003617136947</v>
      </c>
      <c r="J14" s="8"/>
    </row>
    <row r="15" spans="1:10" ht="17.25" customHeight="1" x14ac:dyDescent="0.3">
      <c r="A15" s="7">
        <v>264</v>
      </c>
      <c r="B15" s="8">
        <v>1391</v>
      </c>
      <c r="C15">
        <v>1462</v>
      </c>
      <c r="D15" s="8">
        <v>1426.0582035807654</v>
      </c>
      <c r="E15" s="8">
        <v>20.495934556231717</v>
      </c>
      <c r="F15" s="1">
        <v>245.5</v>
      </c>
      <c r="G15" s="8">
        <v>1160.0582035807654</v>
      </c>
      <c r="H15" s="1">
        <v>0.11547005383792516</v>
      </c>
      <c r="I15" s="1">
        <v>20.495934556231717</v>
      </c>
      <c r="J15" s="8"/>
    </row>
    <row r="16" spans="1:10" ht="17.25" customHeight="1" x14ac:dyDescent="0.3">
      <c r="A16" s="7">
        <v>265</v>
      </c>
      <c r="B16" s="8">
        <v>1365</v>
      </c>
      <c r="C16">
        <v>1436</v>
      </c>
      <c r="D16" s="8">
        <v>1400.0499991071747</v>
      </c>
      <c r="E16" s="8">
        <v>20.495934556231717</v>
      </c>
      <c r="F16" s="1">
        <v>246.5</v>
      </c>
      <c r="G16" s="8">
        <v>1133.0499991071747</v>
      </c>
      <c r="H16" s="1">
        <v>0.11547005383792516</v>
      </c>
      <c r="I16" s="1">
        <v>20.495934556231717</v>
      </c>
      <c r="J16" s="8"/>
    </row>
    <row r="17" spans="1:10" ht="17.25" customHeight="1" x14ac:dyDescent="0.3">
      <c r="A17" s="7">
        <v>266</v>
      </c>
      <c r="B17" s="8">
        <v>1358</v>
      </c>
      <c r="C17">
        <v>1431</v>
      </c>
      <c r="D17" s="8">
        <v>1394.0222379861807</v>
      </c>
      <c r="E17" s="8">
        <v>21.073284825421343</v>
      </c>
      <c r="F17" s="1">
        <v>247.5</v>
      </c>
      <c r="G17" s="8">
        <v>1126.0222379861807</v>
      </c>
      <c r="H17" s="1">
        <v>0.11547005383792516</v>
      </c>
      <c r="I17" s="1">
        <v>21.073284825421343</v>
      </c>
      <c r="J17" s="8"/>
    </row>
    <row r="18" spans="1:10" ht="17.25" customHeight="1" x14ac:dyDescent="0.3">
      <c r="A18" s="7">
        <v>267</v>
      </c>
      <c r="B18" s="8">
        <v>1346</v>
      </c>
      <c r="C18">
        <v>1406</v>
      </c>
      <c r="D18" s="8">
        <v>1375.6729262437348</v>
      </c>
      <c r="E18" s="8">
        <v>17.320508075688775</v>
      </c>
      <c r="F18" s="1">
        <v>248.5</v>
      </c>
      <c r="G18" s="8">
        <v>1106.6729262437348</v>
      </c>
      <c r="H18" s="1">
        <v>0.11547005383792516</v>
      </c>
      <c r="I18" s="1">
        <v>17.320508075688775</v>
      </c>
      <c r="J18" s="8"/>
    </row>
    <row r="19" spans="1:10" ht="17.25" customHeight="1" x14ac:dyDescent="0.3">
      <c r="A19" s="7">
        <v>268</v>
      </c>
      <c r="B19" s="8">
        <v>1323</v>
      </c>
      <c r="C19">
        <v>1390</v>
      </c>
      <c r="D19" s="8">
        <v>1356.0862804408871</v>
      </c>
      <c r="E19" s="8">
        <v>19.341234017852464</v>
      </c>
      <c r="F19" s="1">
        <v>249.5</v>
      </c>
      <c r="G19" s="8">
        <v>1086.0862804408871</v>
      </c>
      <c r="H19" s="1">
        <v>0.11547005383792516</v>
      </c>
      <c r="I19" s="1">
        <v>19.341234017852464</v>
      </c>
      <c r="J19" s="8"/>
    </row>
    <row r="20" spans="1:10" ht="17.25" customHeight="1" x14ac:dyDescent="0.3">
      <c r="A20" s="7">
        <v>269</v>
      </c>
      <c r="B20" s="8">
        <v>1303</v>
      </c>
      <c r="C20">
        <v>1368</v>
      </c>
      <c r="D20" s="8">
        <v>1335.1044902928011</v>
      </c>
      <c r="E20" s="8">
        <v>18.763883748662838</v>
      </c>
      <c r="F20" s="1">
        <v>250.5</v>
      </c>
      <c r="G20" s="8">
        <v>1064.1044902928011</v>
      </c>
      <c r="H20" s="1">
        <v>0.11547005383792516</v>
      </c>
      <c r="I20" s="1">
        <v>18.763883748662838</v>
      </c>
      <c r="J20" s="8"/>
    </row>
    <row r="21" spans="1:10" ht="17.25" customHeight="1" x14ac:dyDescent="0.3">
      <c r="A21" s="7">
        <v>270</v>
      </c>
      <c r="B21" s="8">
        <v>1294</v>
      </c>
      <c r="C21">
        <v>1346</v>
      </c>
      <c r="D21" s="8">
        <v>1319.7439145531227</v>
      </c>
      <c r="E21" s="8">
        <v>15.01110699893027</v>
      </c>
      <c r="F21" s="1">
        <v>251.5</v>
      </c>
      <c r="G21" s="8">
        <v>1047.7439145531227</v>
      </c>
      <c r="H21" s="1">
        <v>0.11547005383792516</v>
      </c>
      <c r="I21" s="1">
        <v>15.01110699893027</v>
      </c>
      <c r="J21" s="8"/>
    </row>
    <row r="22" spans="1:10" ht="17.25" customHeight="1" x14ac:dyDescent="0.3">
      <c r="A22" s="7">
        <v>271</v>
      </c>
      <c r="B22" s="8">
        <v>1276</v>
      </c>
      <c r="C22">
        <v>1324</v>
      </c>
      <c r="D22" s="8">
        <v>1299.778442658594</v>
      </c>
      <c r="E22" s="8">
        <v>13.856406460551019</v>
      </c>
      <c r="F22" s="1">
        <v>252.5</v>
      </c>
      <c r="G22" s="8">
        <v>1026.778442658594</v>
      </c>
      <c r="H22" s="1">
        <v>0.11547005383792516</v>
      </c>
      <c r="I22" s="1">
        <v>13.856406460551019</v>
      </c>
      <c r="J22" s="8"/>
    </row>
    <row r="23" spans="1:10" ht="17.25" customHeight="1" x14ac:dyDescent="0.3">
      <c r="A23" s="7">
        <v>272</v>
      </c>
      <c r="B23" s="8">
        <v>1264</v>
      </c>
      <c r="C23">
        <v>1314</v>
      </c>
      <c r="D23" s="8">
        <v>1288.7575412000506</v>
      </c>
      <c r="E23" s="8">
        <v>14.433756729740645</v>
      </c>
      <c r="F23" s="1">
        <v>253.5</v>
      </c>
      <c r="G23" s="8">
        <v>1014.7575412000506</v>
      </c>
      <c r="H23" s="1">
        <v>0.11547005383792516</v>
      </c>
      <c r="I23" s="1">
        <v>14.433756729740645</v>
      </c>
      <c r="J23" s="8"/>
    </row>
    <row r="24" spans="1:10" ht="17.25" customHeight="1" x14ac:dyDescent="0.3">
      <c r="A24" s="7">
        <v>273</v>
      </c>
      <c r="B24" s="8">
        <v>1241</v>
      </c>
      <c r="C24">
        <v>1304</v>
      </c>
      <c r="D24" s="8">
        <v>1272.1100581317639</v>
      </c>
      <c r="E24" s="8">
        <v>18.186533479473212</v>
      </c>
      <c r="F24" s="1">
        <v>254.5</v>
      </c>
      <c r="G24" s="8">
        <v>997.11005813176394</v>
      </c>
      <c r="H24" s="1">
        <v>0.11547005383792516</v>
      </c>
      <c r="I24" s="1">
        <v>18.186533479473212</v>
      </c>
      <c r="J24" s="8"/>
    </row>
    <row r="25" spans="1:10" ht="17.25" customHeight="1" x14ac:dyDescent="0.3">
      <c r="A25" s="7">
        <v>274</v>
      </c>
      <c r="B25" s="8">
        <v>1236</v>
      </c>
      <c r="C25">
        <v>1289</v>
      </c>
      <c r="D25" s="8">
        <v>1262.221850547676</v>
      </c>
      <c r="E25" s="8">
        <v>15.299782133525083</v>
      </c>
      <c r="F25" s="1">
        <v>255.5</v>
      </c>
      <c r="G25" s="8">
        <v>986.22185054767601</v>
      </c>
      <c r="H25" s="1">
        <v>0.11547005383792516</v>
      </c>
      <c r="I25" s="1">
        <v>15.299782133525083</v>
      </c>
      <c r="J25" s="8"/>
    </row>
    <row r="26" spans="1:10" ht="17.25" customHeight="1" x14ac:dyDescent="0.3">
      <c r="A26" s="7">
        <v>275</v>
      </c>
      <c r="B26" s="8">
        <v>1221</v>
      </c>
      <c r="C26">
        <v>1268</v>
      </c>
      <c r="D26" s="8">
        <v>1244.2781039622935</v>
      </c>
      <c r="E26" s="8">
        <v>13.567731325956206</v>
      </c>
      <c r="F26" s="1">
        <v>256.5</v>
      </c>
      <c r="G26" s="8">
        <v>967.27810396229347</v>
      </c>
      <c r="H26" s="1">
        <v>0.11547005383792516</v>
      </c>
      <c r="I26" s="1">
        <v>13.567731325956206</v>
      </c>
      <c r="J26" s="8"/>
    </row>
    <row r="27" spans="1:10" ht="17.25" customHeight="1" x14ac:dyDescent="0.3">
      <c r="A27" s="7">
        <v>276</v>
      </c>
      <c r="B27" s="8">
        <v>1206</v>
      </c>
      <c r="C27">
        <v>1254</v>
      </c>
      <c r="D27" s="8">
        <v>1229.7658313679071</v>
      </c>
      <c r="E27" s="8">
        <v>13.856406460551019</v>
      </c>
      <c r="F27" s="1">
        <v>257.5</v>
      </c>
      <c r="G27" s="8">
        <v>951.76583136790714</v>
      </c>
      <c r="H27" s="1">
        <v>0.11547005383792516</v>
      </c>
      <c r="I27" s="1">
        <v>13.856406460551019</v>
      </c>
      <c r="J27" s="8"/>
    </row>
    <row r="28" spans="1:10" ht="17.25" customHeight="1" x14ac:dyDescent="0.3">
      <c r="A28" s="7">
        <v>277</v>
      </c>
      <c r="B28" s="8">
        <v>1196</v>
      </c>
      <c r="C28">
        <v>1234</v>
      </c>
      <c r="D28" s="8">
        <v>1214.8514312458128</v>
      </c>
      <c r="E28" s="8">
        <v>10.96965511460289</v>
      </c>
      <c r="F28" s="1">
        <v>258.5</v>
      </c>
      <c r="G28" s="8">
        <v>935.85143124581282</v>
      </c>
      <c r="H28" s="1">
        <v>0.11547005383792516</v>
      </c>
      <c r="I28" s="1">
        <v>10.96965511460289</v>
      </c>
      <c r="J28" s="8"/>
    </row>
    <row r="29" spans="1:10" ht="17.25" customHeight="1" x14ac:dyDescent="0.3">
      <c r="A29" s="7">
        <v>278</v>
      </c>
      <c r="B29" s="8">
        <v>1180</v>
      </c>
      <c r="C29">
        <v>1223</v>
      </c>
      <c r="D29" s="8">
        <v>1201.307620886507</v>
      </c>
      <c r="E29" s="8">
        <v>12.413030787576954</v>
      </c>
      <c r="F29" s="1">
        <v>259.5</v>
      </c>
      <c r="G29" s="8">
        <v>921.30762088650704</v>
      </c>
      <c r="H29" s="1">
        <v>0.11547005383792516</v>
      </c>
      <c r="I29" s="1">
        <v>12.413030787576954</v>
      </c>
      <c r="J29" s="8"/>
    </row>
    <row r="30" spans="1:10" ht="17.25" customHeight="1" x14ac:dyDescent="0.3">
      <c r="A30" s="7">
        <v>279</v>
      </c>
      <c r="B30" s="8">
        <v>1176</v>
      </c>
      <c r="C30">
        <v>1213</v>
      </c>
      <c r="D30" s="8">
        <v>1194.3567306295049</v>
      </c>
      <c r="E30" s="8">
        <v>10.680979980008077</v>
      </c>
      <c r="F30" s="1">
        <v>260.5</v>
      </c>
      <c r="G30" s="8">
        <v>913.35673062950491</v>
      </c>
      <c r="H30" s="1">
        <v>0.11547005383792516</v>
      </c>
      <c r="I30" s="1">
        <v>10.680979980008077</v>
      </c>
      <c r="J30" s="8"/>
    </row>
    <row r="31" spans="1:10" ht="17.25" customHeight="1" x14ac:dyDescent="0.3">
      <c r="A31" s="7">
        <v>280</v>
      </c>
      <c r="B31" s="8">
        <v>1164</v>
      </c>
      <c r="C31">
        <v>1205</v>
      </c>
      <c r="D31" s="8">
        <v>1184.3225911887353</v>
      </c>
      <c r="E31" s="8">
        <v>11.835680518387329</v>
      </c>
      <c r="F31" s="1">
        <v>261.5</v>
      </c>
      <c r="G31" s="8">
        <v>902.32259118873526</v>
      </c>
      <c r="H31" s="1">
        <v>0.11547005383792516</v>
      </c>
      <c r="I31" s="1">
        <v>11.835680518387329</v>
      </c>
      <c r="J31" s="8"/>
    </row>
    <row r="32" spans="1:10" ht="17.25" customHeight="1" x14ac:dyDescent="0.3">
      <c r="A32" s="7">
        <v>281</v>
      </c>
      <c r="B32" s="8">
        <v>1153</v>
      </c>
      <c r="C32">
        <v>1189</v>
      </c>
      <c r="D32" s="8">
        <v>1170.8616485306879</v>
      </c>
      <c r="E32" s="8">
        <v>10.392304845413264</v>
      </c>
      <c r="F32" s="1">
        <v>262.5</v>
      </c>
      <c r="G32" s="8">
        <v>887.86164853068794</v>
      </c>
      <c r="H32" s="1">
        <v>0.11547005383792516</v>
      </c>
      <c r="I32" s="1">
        <v>10.392304845413264</v>
      </c>
      <c r="J32" s="8"/>
    </row>
    <row r="33" spans="1:10" ht="17.25" customHeight="1" x14ac:dyDescent="0.3">
      <c r="A33" s="7">
        <v>282</v>
      </c>
      <c r="B33" s="8">
        <v>1149</v>
      </c>
      <c r="C33">
        <v>1182</v>
      </c>
      <c r="D33" s="8">
        <v>1165.3831987805556</v>
      </c>
      <c r="E33" s="8">
        <v>9.5262794416288248</v>
      </c>
      <c r="F33" s="1">
        <v>263.5</v>
      </c>
      <c r="G33" s="8">
        <v>881.38319878055563</v>
      </c>
      <c r="H33" s="1">
        <v>0.11547005383792516</v>
      </c>
      <c r="I33" s="1">
        <v>9.5262794416288248</v>
      </c>
      <c r="J33" s="8"/>
    </row>
    <row r="34" spans="1:10" ht="17.25" customHeight="1" x14ac:dyDescent="0.3">
      <c r="A34" s="7">
        <v>283</v>
      </c>
      <c r="B34" s="8">
        <v>1136</v>
      </c>
      <c r="C34">
        <v>1169</v>
      </c>
      <c r="D34" s="8">
        <v>1152.3818811487797</v>
      </c>
      <c r="E34" s="8">
        <v>9.5262794416288248</v>
      </c>
      <c r="F34" s="1">
        <v>264.5</v>
      </c>
      <c r="G34" s="8">
        <v>867.38188114877971</v>
      </c>
      <c r="H34" s="1">
        <v>0.11547005383792516</v>
      </c>
      <c r="I34" s="1">
        <v>9.5262794416288248</v>
      </c>
      <c r="J34" s="8"/>
    </row>
    <row r="35" spans="1:10" ht="17.25" customHeight="1" x14ac:dyDescent="0.3">
      <c r="A35" s="7">
        <v>284</v>
      </c>
      <c r="B35" s="8">
        <v>1122</v>
      </c>
      <c r="C35">
        <v>1163</v>
      </c>
      <c r="D35" s="8">
        <v>1142.3160683453596</v>
      </c>
      <c r="E35" s="8">
        <v>11.835680518387329</v>
      </c>
      <c r="F35" s="1">
        <v>265.5</v>
      </c>
      <c r="G35" s="8">
        <v>856.31606834535955</v>
      </c>
      <c r="H35" s="1">
        <v>0.11547005383792516</v>
      </c>
      <c r="I35" s="1">
        <v>11.835680518387329</v>
      </c>
      <c r="J35" s="8"/>
    </row>
    <row r="36" spans="1:10" ht="17.25" customHeight="1" x14ac:dyDescent="0.3">
      <c r="A36" s="7">
        <v>286</v>
      </c>
      <c r="B36" s="8">
        <v>1110</v>
      </c>
      <c r="C36">
        <v>1138</v>
      </c>
      <c r="D36" s="8">
        <v>1123.9128080060302</v>
      </c>
      <c r="E36" s="8">
        <v>8.0829037686547611</v>
      </c>
      <c r="F36" s="1">
        <v>267.5</v>
      </c>
      <c r="G36" s="8">
        <v>835.91280800603022</v>
      </c>
      <c r="H36" s="1">
        <v>0.11547005383792516</v>
      </c>
      <c r="I36" s="1">
        <v>8.0829037686547611</v>
      </c>
      <c r="J36" s="8"/>
    </row>
    <row r="37" spans="1:10" ht="17.25" customHeight="1" x14ac:dyDescent="0.3">
      <c r="A37" s="7">
        <v>288</v>
      </c>
      <c r="B37" s="8">
        <v>1094</v>
      </c>
      <c r="C37">
        <v>1121</v>
      </c>
      <c r="D37" s="8">
        <v>1107.4177170336404</v>
      </c>
      <c r="E37" s="8">
        <v>7.794228634059948</v>
      </c>
      <c r="F37" s="1">
        <v>269.5</v>
      </c>
      <c r="G37" s="8">
        <v>817.41771703364043</v>
      </c>
      <c r="H37" s="1">
        <v>0.11547005383792516</v>
      </c>
      <c r="I37" s="1">
        <v>7.794228634059948</v>
      </c>
      <c r="J37" s="8"/>
    </row>
    <row r="38" spans="1:10" ht="17.25" customHeight="1" x14ac:dyDescent="0.3">
      <c r="A38" s="7">
        <v>290</v>
      </c>
      <c r="B38" s="8">
        <v>1076</v>
      </c>
      <c r="C38">
        <v>1107</v>
      </c>
      <c r="D38" s="8">
        <v>1091.3899394808439</v>
      </c>
      <c r="E38" s="8">
        <v>8.9489291724392004</v>
      </c>
      <c r="F38" s="1">
        <v>271.5</v>
      </c>
      <c r="G38" s="8">
        <v>799.38993948084385</v>
      </c>
      <c r="H38" s="1">
        <v>0.11547005383792516</v>
      </c>
      <c r="I38" s="1">
        <v>8.9489291724392004</v>
      </c>
      <c r="J38" s="8"/>
    </row>
    <row r="39" spans="1:10" ht="17.25" customHeight="1" x14ac:dyDescent="0.3">
      <c r="A39" s="7">
        <v>292</v>
      </c>
      <c r="B39" s="8">
        <v>1064</v>
      </c>
      <c r="C39">
        <v>1092</v>
      </c>
      <c r="D39" s="8">
        <v>1077.9090870755288</v>
      </c>
      <c r="E39" s="8">
        <v>8.0829037686547611</v>
      </c>
      <c r="F39" s="1">
        <v>273.5</v>
      </c>
      <c r="G39" s="8">
        <v>783.90908707552876</v>
      </c>
      <c r="H39" s="1">
        <v>0.11547005383792516</v>
      </c>
      <c r="I39" s="1">
        <v>8.0829037686547611</v>
      </c>
      <c r="J39" s="8"/>
    </row>
    <row r="40" spans="1:10" ht="17.25" customHeight="1" x14ac:dyDescent="0.3">
      <c r="A40" s="7">
        <v>294</v>
      </c>
      <c r="B40" s="8">
        <v>1048</v>
      </c>
      <c r="C40">
        <v>1079</v>
      </c>
      <c r="D40" s="8">
        <v>1063.3870414858363</v>
      </c>
      <c r="E40" s="8">
        <v>8.9489291724392004</v>
      </c>
      <c r="F40" s="1">
        <v>275.5</v>
      </c>
      <c r="G40" s="8">
        <v>767.38704148583633</v>
      </c>
      <c r="H40" s="1">
        <v>0.11547005383792516</v>
      </c>
      <c r="I40" s="1">
        <v>8.9489291724392004</v>
      </c>
      <c r="J40" s="8"/>
    </row>
    <row r="41" spans="1:10" ht="17.25" customHeight="1" x14ac:dyDescent="0.3">
      <c r="A41" s="7">
        <v>296</v>
      </c>
      <c r="B41" s="8">
        <v>1041</v>
      </c>
      <c r="C41">
        <v>1064</v>
      </c>
      <c r="D41" s="8">
        <v>1052.4371715214168</v>
      </c>
      <c r="E41" s="8">
        <v>6.6395280956806966</v>
      </c>
      <c r="F41" s="1">
        <v>277.5</v>
      </c>
      <c r="G41" s="8">
        <v>754.43717152141676</v>
      </c>
      <c r="H41" s="1">
        <v>0.11547005383792516</v>
      </c>
      <c r="I41" s="1">
        <v>6.6395280956806966</v>
      </c>
      <c r="J41" s="8"/>
    </row>
    <row r="42" spans="1:10" ht="17.25" customHeight="1" x14ac:dyDescent="0.3">
      <c r="A42" s="7">
        <v>299</v>
      </c>
      <c r="B42" s="8">
        <v>1015</v>
      </c>
      <c r="C42">
        <v>1047</v>
      </c>
      <c r="D42" s="8">
        <v>1030.875841214644</v>
      </c>
      <c r="E42" s="8">
        <v>9.2376043070340135</v>
      </c>
      <c r="F42" s="1">
        <v>280.5</v>
      </c>
      <c r="G42" s="8">
        <v>729.87584121464397</v>
      </c>
      <c r="H42" s="1">
        <v>0.11547005383792516</v>
      </c>
      <c r="I42" s="1">
        <v>9.2376043070340135</v>
      </c>
      <c r="J42" s="8"/>
    </row>
    <row r="43" spans="1:10" ht="17.25" customHeight="1" x14ac:dyDescent="0.3">
      <c r="A43" s="7">
        <v>300</v>
      </c>
      <c r="B43" s="8">
        <v>1011</v>
      </c>
      <c r="C43">
        <v>1044</v>
      </c>
      <c r="D43" s="8">
        <v>1027.3675097062394</v>
      </c>
      <c r="E43" s="8">
        <v>9.5262794416288248</v>
      </c>
      <c r="F43" s="1">
        <v>281.5</v>
      </c>
      <c r="G43" s="8">
        <v>725.36750970623939</v>
      </c>
      <c r="H43" s="1">
        <v>0.11547005383792516</v>
      </c>
      <c r="I43" s="1">
        <v>9.5262794416288248</v>
      </c>
      <c r="J43" s="8"/>
    </row>
    <row r="44" spans="1:10" ht="17.25" customHeight="1" x14ac:dyDescent="0.3">
      <c r="A44" s="7">
        <v>301</v>
      </c>
      <c r="B44" s="8">
        <v>1005</v>
      </c>
      <c r="C44">
        <v>1037</v>
      </c>
      <c r="D44" s="8">
        <v>1020.8746250152367</v>
      </c>
      <c r="E44" s="8">
        <v>9.2376043070340135</v>
      </c>
      <c r="F44" s="1">
        <v>282.5</v>
      </c>
      <c r="G44" s="8">
        <v>717.87462501523669</v>
      </c>
      <c r="H44" s="1">
        <v>0.11547005383792516</v>
      </c>
      <c r="I44" s="1">
        <v>9.2376043070340135</v>
      </c>
      <c r="J44" s="8"/>
    </row>
    <row r="45" spans="1:10" ht="17.25" customHeight="1" x14ac:dyDescent="0.3">
      <c r="A45" s="7">
        <v>302</v>
      </c>
      <c r="B45" s="8">
        <v>1001</v>
      </c>
      <c r="C45">
        <v>1020</v>
      </c>
      <c r="D45" s="8">
        <v>1010.4553429023966</v>
      </c>
      <c r="E45" s="8">
        <v>5.4848275573014451</v>
      </c>
      <c r="F45" s="1">
        <v>283.5</v>
      </c>
      <c r="G45" s="8">
        <v>706.45534290239664</v>
      </c>
      <c r="H45" s="1">
        <v>0.11547005383792516</v>
      </c>
      <c r="I45" s="1">
        <v>5.4848275573014451</v>
      </c>
      <c r="J45" s="8"/>
    </row>
    <row r="46" spans="1:10" ht="17.25" customHeight="1" x14ac:dyDescent="0.3">
      <c r="A46" s="7">
        <v>303</v>
      </c>
      <c r="B46" s="8">
        <v>992</v>
      </c>
      <c r="C46">
        <v>1015</v>
      </c>
      <c r="D46" s="8">
        <v>1003.43410346669</v>
      </c>
      <c r="E46" s="8">
        <v>6.6395280956806966</v>
      </c>
      <c r="F46" s="1">
        <v>284.5</v>
      </c>
      <c r="G46" s="8">
        <v>698.43410346668998</v>
      </c>
      <c r="H46" s="1">
        <v>0.11547005383792516</v>
      </c>
      <c r="I46" s="1">
        <v>6.6395280956806966</v>
      </c>
      <c r="J46" s="8"/>
    </row>
    <row r="47" spans="1:10" ht="17.25" customHeight="1" x14ac:dyDescent="0.3">
      <c r="A47" s="7">
        <v>304</v>
      </c>
      <c r="B47" s="8">
        <v>992</v>
      </c>
      <c r="C47">
        <v>1015</v>
      </c>
      <c r="D47" s="8">
        <v>1003.43410346669</v>
      </c>
      <c r="E47" s="8">
        <v>6.6395280956806966</v>
      </c>
      <c r="F47" s="1">
        <v>285.5</v>
      </c>
      <c r="G47" s="8">
        <v>697.43410346668998</v>
      </c>
      <c r="H47" s="1">
        <v>0.11547005383792516</v>
      </c>
      <c r="I47" s="1">
        <v>6.6395280956806966</v>
      </c>
      <c r="J47" s="8"/>
    </row>
    <row r="48" spans="1:10" ht="17.25" customHeight="1" x14ac:dyDescent="0.3">
      <c r="A48" s="7">
        <v>305</v>
      </c>
      <c r="B48" s="8">
        <v>986</v>
      </c>
      <c r="C48">
        <v>1006</v>
      </c>
      <c r="D48" s="8">
        <v>995.94979793160257</v>
      </c>
      <c r="E48" s="8">
        <v>5.7735026918962582</v>
      </c>
      <c r="F48" s="1">
        <v>286.5</v>
      </c>
      <c r="G48" s="8">
        <v>688.94979793160257</v>
      </c>
      <c r="H48" s="1">
        <v>0.11547005383792516</v>
      </c>
      <c r="I48" s="1">
        <v>5.7735026918962582</v>
      </c>
      <c r="J48" s="8"/>
    </row>
    <row r="49" spans="1:10" ht="17.25" customHeight="1" x14ac:dyDescent="0.3">
      <c r="A49" s="7">
        <v>306</v>
      </c>
      <c r="B49" s="8">
        <v>985</v>
      </c>
      <c r="C49">
        <v>1000</v>
      </c>
      <c r="D49" s="8">
        <v>992.47166206396048</v>
      </c>
      <c r="E49" s="8">
        <v>4.3301270189221936</v>
      </c>
      <c r="F49" s="1">
        <v>287.5</v>
      </c>
      <c r="G49" s="8">
        <v>684.47166206396048</v>
      </c>
      <c r="H49" s="1">
        <v>0.11547005383792516</v>
      </c>
      <c r="I49" s="1">
        <v>4.3301270189221936</v>
      </c>
      <c r="J49" s="8"/>
    </row>
    <row r="50" spans="1:10" ht="17.25" customHeight="1" x14ac:dyDescent="0.3">
      <c r="A50" s="7">
        <v>307</v>
      </c>
      <c r="B50" s="8">
        <v>981</v>
      </c>
      <c r="C50">
        <v>999</v>
      </c>
      <c r="D50" s="8">
        <v>989.95909006382692</v>
      </c>
      <c r="E50" s="8">
        <v>5.196152422706632</v>
      </c>
      <c r="F50" s="1">
        <v>288.5</v>
      </c>
      <c r="G50" s="8">
        <v>680.95909006382692</v>
      </c>
      <c r="H50" s="1">
        <v>0.11547005383792516</v>
      </c>
      <c r="I50" s="1">
        <v>5.196152422706632</v>
      </c>
      <c r="J50" s="8"/>
    </row>
    <row r="51" spans="1:10" ht="17.25" customHeight="1" x14ac:dyDescent="0.3">
      <c r="A51" s="7">
        <v>308</v>
      </c>
      <c r="B51" s="8">
        <v>975</v>
      </c>
      <c r="C51">
        <v>992</v>
      </c>
      <c r="D51" s="8">
        <v>983.46326825153972</v>
      </c>
      <c r="E51" s="8">
        <v>4.9074772881118189</v>
      </c>
      <c r="F51" s="1">
        <v>289.5</v>
      </c>
      <c r="G51" s="8">
        <v>673.46326825153972</v>
      </c>
      <c r="H51" s="1">
        <v>0.11547005383792516</v>
      </c>
      <c r="I51" s="1">
        <v>4.9074772881118189</v>
      </c>
      <c r="J51" s="8"/>
    </row>
    <row r="52" spans="1:10" ht="17.25" customHeight="1" x14ac:dyDescent="0.3">
      <c r="A52" s="7">
        <v>309</v>
      </c>
      <c r="B52" s="8">
        <v>971</v>
      </c>
      <c r="C52">
        <v>988</v>
      </c>
      <c r="D52" s="8">
        <v>979.46311824386737</v>
      </c>
      <c r="E52" s="8">
        <v>4.9074772881118189</v>
      </c>
      <c r="F52" s="1">
        <v>290.5</v>
      </c>
      <c r="G52" s="8">
        <v>668.46311824386737</v>
      </c>
      <c r="H52" s="1">
        <v>0.11547005383792516</v>
      </c>
      <c r="I52" s="1">
        <v>4.9074772881118189</v>
      </c>
      <c r="J52" s="8"/>
    </row>
    <row r="53" spans="1:10" ht="17.25" customHeight="1" x14ac:dyDescent="0.3">
      <c r="A53" s="7">
        <v>310</v>
      </c>
      <c r="B53" s="8">
        <v>968</v>
      </c>
      <c r="C53">
        <v>987</v>
      </c>
      <c r="D53" s="8">
        <v>977.45383522701468</v>
      </c>
      <c r="E53" s="8">
        <v>5.4848275573014451</v>
      </c>
      <c r="F53" s="1">
        <v>291.5</v>
      </c>
      <c r="G53" s="8">
        <v>665.45383522701468</v>
      </c>
      <c r="H53" s="1">
        <v>0.11547005383792516</v>
      </c>
      <c r="I53" s="1">
        <v>5.4848275573014451</v>
      </c>
      <c r="J53" s="8"/>
    </row>
    <row r="54" spans="1:10" ht="17.25" customHeight="1" x14ac:dyDescent="0.3">
      <c r="A54" s="7">
        <v>311</v>
      </c>
      <c r="B54" s="8">
        <v>965</v>
      </c>
      <c r="C54">
        <v>974</v>
      </c>
      <c r="D54" s="8">
        <v>969.48955641615851</v>
      </c>
      <c r="E54" s="8">
        <v>2.598076211353316</v>
      </c>
      <c r="F54" s="1">
        <v>292.5</v>
      </c>
      <c r="G54" s="8">
        <v>656.48955641615851</v>
      </c>
      <c r="H54" s="1">
        <v>0.11547005383792516</v>
      </c>
      <c r="I54" s="1">
        <v>2.598076211353316</v>
      </c>
      <c r="J54" s="8"/>
    </row>
    <row r="55" spans="1:10" ht="17.25" customHeight="1" x14ac:dyDescent="0.3">
      <c r="A55" s="7">
        <v>312</v>
      </c>
      <c r="B55" s="8">
        <v>960</v>
      </c>
      <c r="C55">
        <v>976</v>
      </c>
      <c r="D55" s="8">
        <v>967.96694158426715</v>
      </c>
      <c r="E55" s="8">
        <v>4.6188021535170067</v>
      </c>
      <c r="F55" s="1">
        <v>293.5</v>
      </c>
      <c r="G55" s="8">
        <v>653.96694158426715</v>
      </c>
      <c r="H55" s="1">
        <v>0.11547005383792516</v>
      </c>
      <c r="I55" s="1">
        <v>4.6188021535170067</v>
      </c>
      <c r="J55" s="8"/>
    </row>
    <row r="56" spans="1:10" ht="17.25" customHeight="1" x14ac:dyDescent="0.3">
      <c r="A56" s="7">
        <v>313</v>
      </c>
      <c r="B56" s="8">
        <v>957</v>
      </c>
      <c r="C56">
        <v>969</v>
      </c>
      <c r="D56" s="8">
        <v>962.98130822981193</v>
      </c>
      <c r="E56" s="8">
        <v>3.4641016151377548</v>
      </c>
      <c r="F56" s="1">
        <v>294.5</v>
      </c>
      <c r="G56" s="8">
        <v>647.98130822981193</v>
      </c>
      <c r="H56" s="1">
        <v>0.11547005383792516</v>
      </c>
      <c r="I56" s="1">
        <v>3.4641016151377548</v>
      </c>
      <c r="J56" s="8"/>
    </row>
    <row r="57" spans="1:10" ht="17.25" customHeight="1" x14ac:dyDescent="0.3">
      <c r="A57" s="7">
        <v>314</v>
      </c>
      <c r="B57" s="8">
        <v>955</v>
      </c>
      <c r="C57">
        <v>967</v>
      </c>
      <c r="D57" s="8">
        <v>960.98126932838807</v>
      </c>
      <c r="E57" s="8">
        <v>3.4641016151377548</v>
      </c>
      <c r="F57" s="1">
        <v>295.5</v>
      </c>
      <c r="G57" s="8">
        <v>644.98126932838807</v>
      </c>
      <c r="H57" s="1">
        <v>0.11547005383792516</v>
      </c>
      <c r="I57" s="1">
        <v>3.4641016151377548</v>
      </c>
      <c r="J57" s="8"/>
    </row>
    <row r="58" spans="1:10" ht="17.25" customHeight="1" x14ac:dyDescent="0.3">
      <c r="A58" s="7">
        <v>316</v>
      </c>
      <c r="B58" s="8">
        <v>945</v>
      </c>
      <c r="C58">
        <v>961</v>
      </c>
      <c r="D58" s="8">
        <v>952.9664212342426</v>
      </c>
      <c r="E58" s="8">
        <v>4.6188021535170067</v>
      </c>
      <c r="F58" s="1">
        <v>297.5</v>
      </c>
      <c r="G58" s="8">
        <v>634.9664212342426</v>
      </c>
      <c r="H58" s="1">
        <v>0.11547005383792516</v>
      </c>
      <c r="I58" s="1">
        <v>4.6188021535170067</v>
      </c>
      <c r="J58" s="8"/>
    </row>
    <row r="59" spans="1:10" ht="17.25" customHeight="1" x14ac:dyDescent="0.3">
      <c r="A59" s="7">
        <v>318</v>
      </c>
      <c r="B59" s="8">
        <v>940</v>
      </c>
      <c r="C59">
        <v>953</v>
      </c>
      <c r="D59" s="8">
        <v>946.47768066658602</v>
      </c>
      <c r="E59" s="8">
        <v>3.7527767497325675</v>
      </c>
      <c r="F59" s="1">
        <v>299.5</v>
      </c>
      <c r="G59" s="8">
        <v>626.47768066658602</v>
      </c>
      <c r="H59" s="1">
        <v>0.11547005383792516</v>
      </c>
      <c r="I59" s="1">
        <v>3.7527767497325675</v>
      </c>
      <c r="J59" s="8"/>
    </row>
    <row r="60" spans="1:10" ht="17.25" customHeight="1" x14ac:dyDescent="0.3">
      <c r="A60" s="7">
        <v>320</v>
      </c>
      <c r="B60" s="8">
        <v>929</v>
      </c>
      <c r="C60">
        <v>945</v>
      </c>
      <c r="D60" s="8">
        <v>936.96584783011167</v>
      </c>
      <c r="E60" s="8">
        <v>4.6188021535170067</v>
      </c>
      <c r="F60" s="1">
        <v>301.5</v>
      </c>
      <c r="G60" s="8">
        <v>614.96584783011167</v>
      </c>
      <c r="H60" s="1">
        <v>0.11547005383792516</v>
      </c>
      <c r="I60" s="1">
        <v>4.6188021535170067</v>
      </c>
      <c r="J60" s="8"/>
    </row>
    <row r="61" spans="1:10" ht="17.25" customHeight="1" x14ac:dyDescent="0.3">
      <c r="A61" s="7">
        <v>325</v>
      </c>
      <c r="B61" s="8">
        <v>916</v>
      </c>
      <c r="C61">
        <v>930</v>
      </c>
      <c r="D61" s="8">
        <v>922.97345573965447</v>
      </c>
      <c r="E61" s="8">
        <v>4.0414518843273806</v>
      </c>
      <c r="F61" s="1">
        <v>306.5</v>
      </c>
      <c r="G61" s="8">
        <v>595.97345573965447</v>
      </c>
      <c r="H61" s="1">
        <v>0.11547005383792516</v>
      </c>
      <c r="I61" s="1">
        <v>4.0414518843273806</v>
      </c>
      <c r="J61" s="8"/>
    </row>
    <row r="62" spans="1:10" ht="17.25" customHeight="1" x14ac:dyDescent="0.3">
      <c r="A62" s="7">
        <v>330</v>
      </c>
      <c r="B62" s="8">
        <v>906</v>
      </c>
      <c r="C62">
        <v>915</v>
      </c>
      <c r="D62" s="8">
        <v>910.48887966849986</v>
      </c>
      <c r="E62" s="8">
        <v>2.598076211353316</v>
      </c>
      <c r="F62" s="1">
        <v>311.5</v>
      </c>
      <c r="G62" s="8">
        <v>578.48887966849986</v>
      </c>
      <c r="H62" s="1">
        <v>0.11547005383792516</v>
      </c>
      <c r="I62" s="1">
        <v>2.598076211353316</v>
      </c>
      <c r="J62" s="8"/>
    </row>
    <row r="63" spans="1:10" ht="17.25" customHeight="1" x14ac:dyDescent="0.3">
      <c r="A63" s="7">
        <v>335</v>
      </c>
      <c r="B63" s="8">
        <v>886</v>
      </c>
      <c r="D63" s="8">
        <v>886</v>
      </c>
      <c r="E63" s="9">
        <v>0.11547005383792516</v>
      </c>
      <c r="F63" s="1">
        <v>316.5</v>
      </c>
      <c r="G63" s="8">
        <v>549</v>
      </c>
      <c r="H63" s="1">
        <v>0.11547005383792516</v>
      </c>
      <c r="I63" s="9">
        <v>0.11547005383792516</v>
      </c>
      <c r="J63" s="8"/>
    </row>
    <row r="64" spans="1:10" ht="17.25" customHeight="1" x14ac:dyDescent="0.3">
      <c r="A64" s="7">
        <v>340</v>
      </c>
      <c r="B64" s="8">
        <v>871</v>
      </c>
      <c r="D64" s="8">
        <v>871</v>
      </c>
      <c r="E64" s="9">
        <v>0.11547005383792516</v>
      </c>
      <c r="F64" s="1">
        <v>321.5</v>
      </c>
      <c r="G64" s="8">
        <v>529</v>
      </c>
      <c r="H64" s="1">
        <v>0.11547005383792516</v>
      </c>
      <c r="I64" s="9">
        <v>0.11547005383792516</v>
      </c>
      <c r="J64" s="8"/>
    </row>
    <row r="65" spans="1:10" ht="17.25" customHeight="1" x14ac:dyDescent="0.3">
      <c r="A65" s="7">
        <v>345</v>
      </c>
      <c r="B65" s="8">
        <v>870</v>
      </c>
      <c r="D65" s="8">
        <v>870</v>
      </c>
      <c r="E65" s="9">
        <v>0.11547005383792516</v>
      </c>
      <c r="F65" s="1">
        <v>326.5</v>
      </c>
      <c r="G65" s="8">
        <v>523</v>
      </c>
      <c r="H65" s="1">
        <v>0.11547005383792516</v>
      </c>
      <c r="I65" s="9">
        <v>0.11547005383792516</v>
      </c>
      <c r="J65" s="8"/>
    </row>
    <row r="66" spans="1:10" ht="17.25" customHeight="1" x14ac:dyDescent="0.3">
      <c r="A66" s="7">
        <v>350</v>
      </c>
      <c r="B66" s="8">
        <v>864</v>
      </c>
      <c r="D66" s="8">
        <v>864</v>
      </c>
      <c r="E66" s="9">
        <v>0.11547005383792516</v>
      </c>
      <c r="F66" s="1">
        <v>331.5</v>
      </c>
      <c r="G66" s="8">
        <v>512</v>
      </c>
      <c r="H66" s="1">
        <v>0.11547005383792516</v>
      </c>
      <c r="I66" s="9">
        <v>0.11547005383792516</v>
      </c>
      <c r="J66" s="8"/>
    </row>
    <row r="67" spans="1:10" ht="17.25" customHeight="1" x14ac:dyDescent="0.3">
      <c r="A67" s="7">
        <v>355</v>
      </c>
      <c r="B67" s="8">
        <v>856</v>
      </c>
      <c r="D67" s="8">
        <v>856</v>
      </c>
      <c r="E67" s="9">
        <v>0.11547005383792516</v>
      </c>
      <c r="F67" s="1">
        <v>336.5</v>
      </c>
      <c r="G67" s="8">
        <v>499</v>
      </c>
      <c r="H67" s="1">
        <v>0.11547005383792516</v>
      </c>
      <c r="I67" s="9">
        <v>0.11547005383792516</v>
      </c>
      <c r="J67" s="8"/>
    </row>
    <row r="68" spans="1:10" ht="17.25" customHeight="1" x14ac:dyDescent="0.3">
      <c r="A68" s="7">
        <v>360</v>
      </c>
      <c r="B68" s="8">
        <v>851</v>
      </c>
      <c r="D68" s="8">
        <v>851</v>
      </c>
      <c r="E68" s="9">
        <v>0.11547005383792516</v>
      </c>
      <c r="F68" s="1">
        <v>341.5</v>
      </c>
      <c r="G68" s="8">
        <v>489</v>
      </c>
      <c r="H68" s="1">
        <v>0.11547005383792516</v>
      </c>
      <c r="I68" s="9">
        <v>0.11547005383792516</v>
      </c>
      <c r="J68" s="8"/>
    </row>
    <row r="69" spans="1:10" ht="17.25" customHeight="1" x14ac:dyDescent="0.3">
      <c r="A69" s="7">
        <v>365</v>
      </c>
      <c r="B69" s="8">
        <v>846</v>
      </c>
      <c r="D69" s="8">
        <v>846</v>
      </c>
      <c r="E69" s="9">
        <v>0.11547005383792516</v>
      </c>
      <c r="F69" s="1">
        <v>346.5</v>
      </c>
      <c r="G69" s="8">
        <v>479</v>
      </c>
      <c r="H69" s="1">
        <v>0.11547005383792516</v>
      </c>
      <c r="I69" s="9">
        <v>0.11547005383792516</v>
      </c>
      <c r="J69" s="8"/>
    </row>
    <row r="70" spans="1:10" ht="17.25" customHeight="1" x14ac:dyDescent="0.3">
      <c r="A70" s="7">
        <v>370</v>
      </c>
      <c r="B70" s="8">
        <v>840</v>
      </c>
      <c r="D70" s="8">
        <v>840</v>
      </c>
      <c r="E70" s="9">
        <v>0.11547005383792516</v>
      </c>
      <c r="F70" s="1">
        <v>351.5</v>
      </c>
      <c r="G70" s="8">
        <v>468</v>
      </c>
      <c r="H70" s="1">
        <v>0.11547005383792516</v>
      </c>
      <c r="I70" s="9">
        <v>0.11547005383792516</v>
      </c>
      <c r="J70" s="8"/>
    </row>
    <row r="71" spans="1:10" ht="17.25" customHeight="1" x14ac:dyDescent="0.3">
      <c r="A71" s="7">
        <v>375</v>
      </c>
      <c r="B71" s="8">
        <v>835</v>
      </c>
      <c r="D71" s="8">
        <v>835</v>
      </c>
      <c r="E71" s="9">
        <v>0.11547005383792516</v>
      </c>
      <c r="F71" s="1">
        <v>356.5</v>
      </c>
      <c r="G71" s="8">
        <v>458</v>
      </c>
      <c r="H71" s="1">
        <v>0.11547005383792516</v>
      </c>
      <c r="I71" s="9">
        <v>0.11547005383792516</v>
      </c>
      <c r="J71" s="8"/>
    </row>
    <row r="72" spans="1:10" ht="17.25" customHeight="1" x14ac:dyDescent="0.3">
      <c r="A72" s="7">
        <v>380</v>
      </c>
      <c r="B72" s="8">
        <v>833</v>
      </c>
      <c r="D72" s="8">
        <v>833</v>
      </c>
      <c r="E72" s="9">
        <v>0.11547005383792516</v>
      </c>
      <c r="F72" s="1">
        <v>361.5</v>
      </c>
      <c r="G72" s="8">
        <v>451</v>
      </c>
      <c r="H72" s="1">
        <v>0.11547005383792516</v>
      </c>
      <c r="I72" s="9">
        <v>0.11547005383792516</v>
      </c>
      <c r="J72" s="8"/>
    </row>
    <row r="73" spans="1:10" ht="17.25" customHeight="1" x14ac:dyDescent="0.3">
      <c r="A73" s="7">
        <v>385</v>
      </c>
      <c r="B73" s="8">
        <v>832</v>
      </c>
      <c r="D73" s="8">
        <v>832</v>
      </c>
      <c r="E73" s="9">
        <v>0.11547005383792516</v>
      </c>
      <c r="F73" s="1">
        <v>366.5</v>
      </c>
      <c r="G73" s="8">
        <v>445</v>
      </c>
      <c r="H73" s="1">
        <v>0.11547005383792516</v>
      </c>
      <c r="I73" s="9">
        <v>0.11547005383792516</v>
      </c>
      <c r="J73" s="8"/>
    </row>
    <row r="74" spans="1:10" ht="17.25" customHeight="1" x14ac:dyDescent="0.3">
      <c r="A74" s="7">
        <v>390</v>
      </c>
      <c r="B74" s="8">
        <v>828</v>
      </c>
      <c r="D74" s="8">
        <v>828</v>
      </c>
      <c r="E74" s="9">
        <v>0.11547005383792516</v>
      </c>
      <c r="F74" s="1">
        <v>371.5</v>
      </c>
      <c r="G74" s="8">
        <v>436</v>
      </c>
      <c r="H74" s="1">
        <v>0.11547005383792516</v>
      </c>
      <c r="I74" s="9">
        <v>0.11547005383792516</v>
      </c>
      <c r="J74" s="8"/>
    </row>
    <row r="75" spans="1:10" ht="17.25" customHeight="1" x14ac:dyDescent="0.3">
      <c r="A75" s="7">
        <v>395</v>
      </c>
      <c r="B75" s="8">
        <v>825</v>
      </c>
      <c r="D75" s="8">
        <v>825</v>
      </c>
      <c r="E75" s="9">
        <v>0.11547005383792516</v>
      </c>
      <c r="F75" s="1">
        <v>376.5</v>
      </c>
      <c r="G75" s="8">
        <v>428</v>
      </c>
      <c r="H75" s="1">
        <v>0.11547005383792516</v>
      </c>
      <c r="I75" s="9">
        <v>0.11547005383792516</v>
      </c>
      <c r="J75" s="8"/>
    </row>
    <row r="76" spans="1:10" ht="17.25" customHeight="1" x14ac:dyDescent="0.3">
      <c r="A76" s="7">
        <v>400</v>
      </c>
      <c r="B76" s="8">
        <v>822</v>
      </c>
      <c r="D76" s="8">
        <v>822</v>
      </c>
      <c r="E76" s="9">
        <v>0.11547005383792516</v>
      </c>
      <c r="F76" s="1">
        <v>381.5</v>
      </c>
      <c r="G76" s="8">
        <v>420</v>
      </c>
      <c r="H76" s="1">
        <v>0.11547005383792516</v>
      </c>
      <c r="I76" s="9">
        <v>0.11547005383792516</v>
      </c>
      <c r="J76" s="8"/>
    </row>
    <row r="77" spans="1:10" ht="17.25" customHeight="1" x14ac:dyDescent="0.3">
      <c r="A77" s="7">
        <v>405</v>
      </c>
      <c r="B77" s="8">
        <v>820</v>
      </c>
      <c r="D77" s="8">
        <v>820</v>
      </c>
      <c r="E77" s="9">
        <v>0.11547005383792516</v>
      </c>
      <c r="F77" s="1">
        <v>386.5</v>
      </c>
      <c r="G77" s="8">
        <v>413</v>
      </c>
      <c r="H77" s="1">
        <v>0.11547005383792516</v>
      </c>
      <c r="I77" s="9">
        <v>0.11547005383792516</v>
      </c>
      <c r="J77" s="8"/>
    </row>
    <row r="78" spans="1:10" ht="17.25" customHeight="1" x14ac:dyDescent="0.3">
      <c r="A78" s="7">
        <v>410</v>
      </c>
      <c r="B78" s="8">
        <v>816</v>
      </c>
      <c r="D78" s="8">
        <v>816</v>
      </c>
      <c r="E78" s="9">
        <v>0.11547005383792516</v>
      </c>
      <c r="F78" s="1">
        <v>391.5</v>
      </c>
      <c r="G78" s="8">
        <v>404</v>
      </c>
      <c r="H78" s="1">
        <v>0.11547005383792516</v>
      </c>
      <c r="I78" s="9">
        <v>0.11547005383792516</v>
      </c>
      <c r="J78" s="8"/>
    </row>
    <row r="79" spans="1:10" ht="17.25" customHeight="1" x14ac:dyDescent="0.3">
      <c r="A79" s="7">
        <v>415</v>
      </c>
      <c r="B79" s="8">
        <v>814</v>
      </c>
      <c r="D79" s="8">
        <v>814</v>
      </c>
      <c r="E79" s="9">
        <v>0.11547005383792516</v>
      </c>
      <c r="F79" s="1">
        <v>396.5</v>
      </c>
      <c r="G79" s="8">
        <v>397</v>
      </c>
      <c r="H79" s="1">
        <v>0.11547005383792516</v>
      </c>
      <c r="I79" s="9">
        <v>0.11547005383792516</v>
      </c>
    </row>
    <row r="80" spans="1:10" ht="17.25" customHeight="1" x14ac:dyDescent="0.3">
      <c r="A80" s="7">
        <v>420</v>
      </c>
      <c r="B80" s="8">
        <v>822</v>
      </c>
      <c r="D80" s="8">
        <v>822</v>
      </c>
      <c r="E80" s="9">
        <v>0.11547005383792516</v>
      </c>
      <c r="F80" s="1">
        <v>401.5</v>
      </c>
      <c r="G80" s="8">
        <v>400</v>
      </c>
      <c r="H80" s="1">
        <v>0.11547005383792516</v>
      </c>
      <c r="I80" s="9">
        <v>0.11547005383792516</v>
      </c>
    </row>
    <row r="81" spans="1:9" ht="17.25" customHeight="1" x14ac:dyDescent="0.3">
      <c r="A81" s="7">
        <v>425</v>
      </c>
      <c r="B81" s="8">
        <v>825</v>
      </c>
      <c r="D81" s="8">
        <v>825</v>
      </c>
      <c r="E81" s="9">
        <v>0.11547005383792516</v>
      </c>
      <c r="F81" s="1">
        <v>406.5</v>
      </c>
      <c r="G81" s="8">
        <v>398</v>
      </c>
      <c r="H81" s="1">
        <v>0.11547005383792516</v>
      </c>
      <c r="I81" s="9">
        <v>0.11547005383792516</v>
      </c>
    </row>
    <row r="82" spans="1:9" ht="17.25" customHeight="1" x14ac:dyDescent="0.3">
      <c r="A82" s="7">
        <v>430</v>
      </c>
      <c r="B82" s="8">
        <v>827</v>
      </c>
      <c r="D82" s="8">
        <v>827</v>
      </c>
      <c r="E82" s="9">
        <v>0.11547005383792516</v>
      </c>
      <c r="F82" s="1">
        <v>411.5</v>
      </c>
      <c r="G82" s="8">
        <v>395</v>
      </c>
      <c r="H82" s="1">
        <v>0.11547005383792516</v>
      </c>
      <c r="I82" s="9">
        <v>0.11547005383792516</v>
      </c>
    </row>
    <row r="83" spans="1:9" ht="17.25" customHeight="1" x14ac:dyDescent="0.3">
      <c r="A83" s="7">
        <v>435</v>
      </c>
      <c r="B83" s="8">
        <v>827</v>
      </c>
      <c r="D83" s="8">
        <v>827</v>
      </c>
      <c r="E83" s="9">
        <v>0.11547005383792516</v>
      </c>
      <c r="F83" s="1">
        <v>416.5</v>
      </c>
      <c r="G83" s="8">
        <v>390</v>
      </c>
      <c r="H83" s="1">
        <v>0.11547005383792516</v>
      </c>
      <c r="I83" s="9">
        <v>0.11547005383792516</v>
      </c>
    </row>
    <row r="84" spans="1:9" ht="17.25" customHeight="1" x14ac:dyDescent="0.3">
      <c r="A84" s="7">
        <v>440</v>
      </c>
      <c r="B84" s="8">
        <v>829</v>
      </c>
      <c r="D84" s="8">
        <v>829</v>
      </c>
      <c r="E84" s="9">
        <v>0.11547005383792516</v>
      </c>
      <c r="F84" s="1">
        <v>421.5</v>
      </c>
      <c r="G84" s="8">
        <v>387</v>
      </c>
      <c r="H84" s="1">
        <v>0.11547005383792516</v>
      </c>
      <c r="I84" s="9">
        <v>0.11547005383792516</v>
      </c>
    </row>
    <row r="85" spans="1:9" ht="17.25" customHeight="1" x14ac:dyDescent="0.3">
      <c r="A85" s="7">
        <v>445</v>
      </c>
      <c r="B85" s="8">
        <v>830</v>
      </c>
      <c r="D85" s="8">
        <v>830</v>
      </c>
      <c r="E85" s="9">
        <v>0.11547005383792516</v>
      </c>
      <c r="F85" s="1">
        <v>426.5</v>
      </c>
      <c r="G85" s="8">
        <v>383</v>
      </c>
      <c r="H85" s="1">
        <v>0.11547005383792516</v>
      </c>
      <c r="I85" s="9">
        <v>0.11547005383792516</v>
      </c>
    </row>
    <row r="86" spans="1:9" ht="17.25" customHeight="1" x14ac:dyDescent="0.3">
      <c r="A86" s="7">
        <v>450</v>
      </c>
      <c r="B86" s="8">
        <v>831</v>
      </c>
      <c r="D86" s="8">
        <v>831</v>
      </c>
      <c r="E86" s="9">
        <v>0.11547005383792516</v>
      </c>
      <c r="F86" s="1">
        <v>431.5</v>
      </c>
      <c r="G86" s="8">
        <v>379</v>
      </c>
      <c r="H86" s="1">
        <v>0.11547005383792516</v>
      </c>
      <c r="I86" s="9">
        <v>0.11547005383792516</v>
      </c>
    </row>
    <row r="87" spans="1:9" ht="17.25" customHeight="1" x14ac:dyDescent="0.3">
      <c r="A87" s="7">
        <v>460</v>
      </c>
      <c r="B87" s="8">
        <v>832</v>
      </c>
      <c r="D87" s="8">
        <v>832</v>
      </c>
      <c r="E87" s="9">
        <v>0.11547005383792516</v>
      </c>
      <c r="F87" s="1">
        <v>441.5</v>
      </c>
      <c r="G87" s="8">
        <v>370</v>
      </c>
      <c r="H87" s="1">
        <v>0.11547005383792516</v>
      </c>
      <c r="I87" s="9">
        <v>0.11547005383792516</v>
      </c>
    </row>
    <row r="88" spans="1:9" ht="17.25" customHeight="1" x14ac:dyDescent="0.3">
      <c r="A88" s="7">
        <v>470</v>
      </c>
      <c r="B88" s="8">
        <v>837</v>
      </c>
      <c r="D88" s="8">
        <v>837</v>
      </c>
      <c r="E88" s="9">
        <v>0.11547005383792516</v>
      </c>
      <c r="F88" s="1">
        <v>451.5</v>
      </c>
      <c r="G88" s="8">
        <v>365</v>
      </c>
      <c r="H88" s="1">
        <v>0.11547005383792516</v>
      </c>
      <c r="I88" s="9">
        <v>0.11547005383792516</v>
      </c>
    </row>
    <row r="89" spans="1:9" ht="17.25" customHeight="1" x14ac:dyDescent="0.3">
      <c r="A89" s="7">
        <v>480</v>
      </c>
      <c r="B89" s="8">
        <v>840</v>
      </c>
      <c r="D89" s="8">
        <v>840</v>
      </c>
      <c r="E89" s="9">
        <v>0.11547005383792516</v>
      </c>
      <c r="F89" s="1">
        <v>461.5</v>
      </c>
      <c r="G89" s="8">
        <v>358</v>
      </c>
      <c r="H89" s="1">
        <v>0.11547005383792516</v>
      </c>
      <c r="I89" s="9">
        <v>0.11547005383792516</v>
      </c>
    </row>
    <row r="90" spans="1:9" ht="17.25" customHeight="1" x14ac:dyDescent="0.3">
      <c r="A90" s="7">
        <v>490</v>
      </c>
      <c r="B90" s="8">
        <v>835</v>
      </c>
      <c r="D90" s="8">
        <v>835</v>
      </c>
      <c r="E90" s="9">
        <v>0.11547005383792516</v>
      </c>
      <c r="F90" s="1">
        <v>471.5</v>
      </c>
      <c r="G90" s="8">
        <v>343</v>
      </c>
      <c r="H90" s="1">
        <v>0.11547005383792516</v>
      </c>
      <c r="I90" s="9">
        <v>0.11547005383792516</v>
      </c>
    </row>
    <row r="91" spans="1:9" ht="17.25" customHeight="1" x14ac:dyDescent="0.3">
      <c r="A91" s="7">
        <v>500</v>
      </c>
      <c r="B91" s="8">
        <v>850</v>
      </c>
      <c r="D91" s="8">
        <v>850</v>
      </c>
      <c r="E91" s="9">
        <v>0.11547005383792516</v>
      </c>
      <c r="F91" s="1">
        <v>481.5</v>
      </c>
      <c r="G91" s="8">
        <v>348</v>
      </c>
      <c r="H91" s="1">
        <v>0.11547005383792516</v>
      </c>
      <c r="I91" s="9">
        <v>0.11547005383792516</v>
      </c>
    </row>
    <row r="92" spans="1:9" ht="17.25" customHeight="1" x14ac:dyDescent="0.3">
      <c r="A92" s="7">
        <v>510</v>
      </c>
      <c r="B92" s="8">
        <v>855</v>
      </c>
      <c r="D92" s="8">
        <v>855</v>
      </c>
      <c r="E92" s="9">
        <v>0.11547005383792516</v>
      </c>
      <c r="F92" s="1">
        <v>491.5</v>
      </c>
      <c r="G92" s="8">
        <v>343</v>
      </c>
      <c r="H92" s="1">
        <v>0.11547005383792516</v>
      </c>
      <c r="I92" s="9">
        <v>0.11547005383792516</v>
      </c>
    </row>
    <row r="93" spans="1:9" ht="17.25" customHeight="1" x14ac:dyDescent="0.3">
      <c r="A93" s="7">
        <v>520</v>
      </c>
      <c r="B93" s="8">
        <v>860</v>
      </c>
      <c r="D93" s="8">
        <v>860</v>
      </c>
      <c r="E93" s="9">
        <v>0.11547005383792516</v>
      </c>
      <c r="F93" s="1">
        <v>501.5</v>
      </c>
      <c r="G93" s="8">
        <v>338</v>
      </c>
      <c r="H93" s="1">
        <v>0.11547005383792516</v>
      </c>
      <c r="I93" s="9">
        <v>0.11547005383792516</v>
      </c>
    </row>
    <row r="94" spans="1:9" ht="17.25" customHeight="1" x14ac:dyDescent="0.3">
      <c r="A94" s="7">
        <v>530</v>
      </c>
      <c r="B94" s="8">
        <v>865</v>
      </c>
      <c r="D94" s="8">
        <v>865</v>
      </c>
      <c r="E94" s="9">
        <v>0.11547005383792516</v>
      </c>
      <c r="F94" s="1">
        <v>511.5</v>
      </c>
      <c r="G94" s="8">
        <v>333</v>
      </c>
      <c r="H94" s="1">
        <v>0.11547005383792516</v>
      </c>
      <c r="I94" s="9">
        <v>0.11547005383792516</v>
      </c>
    </row>
    <row r="95" spans="1:9" ht="17.25" customHeight="1" x14ac:dyDescent="0.3">
      <c r="A95" s="7">
        <v>540</v>
      </c>
      <c r="B95" s="8">
        <v>870</v>
      </c>
      <c r="D95" s="8">
        <v>870</v>
      </c>
      <c r="E95" s="9">
        <v>0.11547005383792516</v>
      </c>
      <c r="F95" s="1">
        <v>521.5</v>
      </c>
      <c r="G95" s="8">
        <v>328</v>
      </c>
      <c r="H95" s="1">
        <v>0.11547005383792516</v>
      </c>
      <c r="I95" s="9">
        <v>0.11547005383792516</v>
      </c>
    </row>
    <row r="96" spans="1:9" ht="17.25" customHeight="1" x14ac:dyDescent="0.3">
      <c r="A96" s="7">
        <v>550</v>
      </c>
      <c r="B96" s="8">
        <v>875</v>
      </c>
      <c r="D96" s="8">
        <v>875</v>
      </c>
      <c r="E96" s="9">
        <v>0.11547005383792516</v>
      </c>
      <c r="F96" s="1">
        <v>531.5</v>
      </c>
      <c r="G96" s="8">
        <v>323</v>
      </c>
      <c r="H96" s="1">
        <v>0.11547005383792516</v>
      </c>
      <c r="I96" s="9">
        <v>0.11547005383792516</v>
      </c>
    </row>
    <row r="97" spans="1:9" ht="17.25" customHeight="1" x14ac:dyDescent="0.3">
      <c r="A97" s="7">
        <v>560</v>
      </c>
      <c r="B97" s="8">
        <v>885</v>
      </c>
      <c r="D97" s="8">
        <v>885</v>
      </c>
      <c r="E97" s="9">
        <v>0.11547005383792516</v>
      </c>
      <c r="F97" s="1">
        <v>541.5</v>
      </c>
      <c r="G97" s="8">
        <v>323</v>
      </c>
      <c r="H97" s="1">
        <v>0.11547005383792516</v>
      </c>
      <c r="I97" s="9">
        <v>0.11547005383792516</v>
      </c>
    </row>
    <row r="98" spans="1:9" ht="17.25" customHeight="1" x14ac:dyDescent="0.3">
      <c r="A98" s="7">
        <v>570</v>
      </c>
      <c r="B98" s="8">
        <v>890</v>
      </c>
      <c r="D98" s="8">
        <v>890</v>
      </c>
      <c r="E98" s="9">
        <v>0.11547005383792516</v>
      </c>
      <c r="F98" s="1">
        <v>551.5</v>
      </c>
      <c r="G98" s="8">
        <v>318</v>
      </c>
      <c r="H98" s="1">
        <v>0.11547005383792516</v>
      </c>
      <c r="I98" s="9">
        <v>0.11547005383792516</v>
      </c>
    </row>
    <row r="99" spans="1:9" ht="17.25" customHeight="1" x14ac:dyDescent="0.3">
      <c r="A99" s="7">
        <v>580</v>
      </c>
      <c r="B99" s="8">
        <v>897</v>
      </c>
      <c r="D99" s="8">
        <v>897</v>
      </c>
      <c r="E99" s="9">
        <v>0.11547005383792516</v>
      </c>
      <c r="F99" s="1">
        <v>561.5</v>
      </c>
      <c r="G99" s="8">
        <v>315</v>
      </c>
      <c r="H99" s="1">
        <v>0.11547005383792516</v>
      </c>
      <c r="I99" s="9">
        <v>0.11547005383792516</v>
      </c>
    </row>
    <row r="100" spans="1:9" ht="17.25" customHeight="1" x14ac:dyDescent="0.3">
      <c r="A100" s="7">
        <v>590</v>
      </c>
      <c r="B100" s="8">
        <v>905</v>
      </c>
      <c r="D100" s="8">
        <v>905</v>
      </c>
      <c r="E100" s="9">
        <v>0.11547005383792516</v>
      </c>
      <c r="F100" s="1">
        <v>571.5</v>
      </c>
      <c r="G100" s="8">
        <v>313</v>
      </c>
      <c r="H100" s="1">
        <v>0.11547005383792516</v>
      </c>
      <c r="I100" s="9">
        <v>0.11547005383792516</v>
      </c>
    </row>
    <row r="101" spans="1:9" ht="17.25" customHeight="1" x14ac:dyDescent="0.3">
      <c r="A101" s="7">
        <v>600</v>
      </c>
      <c r="B101" s="8">
        <v>910</v>
      </c>
      <c r="D101" s="8">
        <v>910</v>
      </c>
      <c r="E101" s="9">
        <v>0.11547005383792516</v>
      </c>
      <c r="F101" s="1">
        <v>581.5</v>
      </c>
      <c r="G101" s="8">
        <v>308</v>
      </c>
      <c r="H101" s="1">
        <v>0.11547005383792516</v>
      </c>
      <c r="I101" s="9">
        <v>0.11547005383792516</v>
      </c>
    </row>
    <row r="102" spans="1:9" ht="17.25" customHeight="1" x14ac:dyDescent="0.3">
      <c r="A102" s="7">
        <v>620</v>
      </c>
      <c r="B102" s="8">
        <v>925</v>
      </c>
      <c r="D102" s="8">
        <v>925</v>
      </c>
      <c r="E102" s="9">
        <v>0.11547005383792516</v>
      </c>
      <c r="F102" s="1">
        <v>601.5</v>
      </c>
      <c r="G102" s="8">
        <v>303</v>
      </c>
      <c r="H102" s="1">
        <v>0.11547005383792516</v>
      </c>
      <c r="I102" s="9">
        <v>0.11547005383792516</v>
      </c>
    </row>
    <row r="103" spans="1:9" ht="17.25" customHeight="1" x14ac:dyDescent="0.3">
      <c r="A103" s="7">
        <v>640</v>
      </c>
      <c r="B103" s="8">
        <v>939</v>
      </c>
      <c r="D103" s="8">
        <v>939</v>
      </c>
      <c r="E103" s="9">
        <v>0.11547005383792516</v>
      </c>
      <c r="F103" s="1">
        <v>621.5</v>
      </c>
      <c r="G103" s="8">
        <v>297</v>
      </c>
      <c r="H103" s="1">
        <v>0.11547005383792516</v>
      </c>
      <c r="I103" s="9">
        <v>0.11547005383792516</v>
      </c>
    </row>
    <row r="104" spans="1:9" ht="17.25" customHeight="1" x14ac:dyDescent="0.3">
      <c r="A104" s="7">
        <v>660</v>
      </c>
      <c r="B104" s="8">
        <v>958</v>
      </c>
      <c r="D104" s="8">
        <v>958</v>
      </c>
      <c r="E104" s="9">
        <v>0.11547005383792516</v>
      </c>
      <c r="F104" s="1">
        <v>641.5</v>
      </c>
      <c r="G104" s="8">
        <v>296</v>
      </c>
      <c r="H104" s="1">
        <v>0.11547005383792516</v>
      </c>
      <c r="I104" s="9">
        <v>0.11547005383792516</v>
      </c>
    </row>
    <row r="105" spans="1:9" ht="17.25" customHeight="1" x14ac:dyDescent="0.3">
      <c r="A105" s="7">
        <v>680</v>
      </c>
      <c r="B105" s="8">
        <v>972</v>
      </c>
      <c r="D105" s="8">
        <v>972</v>
      </c>
      <c r="E105" s="9">
        <v>0.11547005383792516</v>
      </c>
      <c r="F105" s="1">
        <v>661.5</v>
      </c>
      <c r="G105" s="8">
        <v>290</v>
      </c>
      <c r="H105" s="1">
        <v>0.11547005383792516</v>
      </c>
      <c r="I105" s="9">
        <v>0.11547005383792516</v>
      </c>
    </row>
    <row r="106" spans="1:9" ht="17.25" customHeight="1" x14ac:dyDescent="0.3">
      <c r="A106" s="7">
        <v>700</v>
      </c>
      <c r="B106" s="8">
        <v>990</v>
      </c>
      <c r="D106" s="8">
        <v>990</v>
      </c>
      <c r="E106" s="9">
        <v>0.11547005383792516</v>
      </c>
      <c r="F106" s="1">
        <v>681.5</v>
      </c>
      <c r="G106" s="8">
        <v>288</v>
      </c>
      <c r="H106" s="1">
        <v>0.11547005383792516</v>
      </c>
      <c r="I106" s="9">
        <v>0.11547005383792516</v>
      </c>
    </row>
    <row r="107" spans="1:9" ht="17.25" customHeight="1" x14ac:dyDescent="0.3">
      <c r="A107" s="7">
        <v>750</v>
      </c>
      <c r="B107" s="8">
        <v>1030</v>
      </c>
      <c r="D107" s="8">
        <v>1030</v>
      </c>
      <c r="E107" s="9">
        <v>0.11547005383792516</v>
      </c>
      <c r="F107" s="1">
        <v>731.5</v>
      </c>
      <c r="G107" s="8">
        <v>278</v>
      </c>
      <c r="H107" s="1">
        <v>0.11547005383792516</v>
      </c>
      <c r="I107" s="9">
        <v>0.11547005383792516</v>
      </c>
    </row>
    <row r="108" spans="1:9" ht="17.25" customHeight="1" x14ac:dyDescent="0.3">
      <c r="A108" s="7">
        <v>800</v>
      </c>
      <c r="B108" s="8">
        <v>1073</v>
      </c>
      <c r="D108" s="8">
        <v>1073</v>
      </c>
      <c r="E108" s="9">
        <v>0.11547005383792516</v>
      </c>
      <c r="F108" s="1">
        <v>781.5</v>
      </c>
      <c r="G108" s="8">
        <v>271</v>
      </c>
      <c r="H108" s="1">
        <v>0.11547005383792516</v>
      </c>
      <c r="I108" s="9">
        <v>0.11547005383792516</v>
      </c>
    </row>
    <row r="109" spans="1:9" ht="17.25" customHeight="1" x14ac:dyDescent="0.3">
      <c r="A109" s="7">
        <v>850</v>
      </c>
      <c r="B109" s="8">
        <v>1118</v>
      </c>
      <c r="D109" s="8">
        <v>1118</v>
      </c>
      <c r="E109" s="9">
        <v>0.11547005383792516</v>
      </c>
      <c r="F109" s="1">
        <v>831.5</v>
      </c>
      <c r="G109" s="8">
        <v>266</v>
      </c>
      <c r="H109" s="1">
        <v>0.11547005383792516</v>
      </c>
      <c r="I109" s="9">
        <v>0.11547005383792516</v>
      </c>
    </row>
    <row r="110" spans="1:9" ht="17.25" customHeight="1" x14ac:dyDescent="0.3">
      <c r="A110" s="7">
        <v>900</v>
      </c>
      <c r="B110" s="8">
        <v>1164</v>
      </c>
      <c r="D110" s="8">
        <v>1164</v>
      </c>
      <c r="E110" s="9">
        <v>0.11547005383792516</v>
      </c>
      <c r="F110" s="1">
        <v>881.5</v>
      </c>
      <c r="G110" s="8">
        <v>262</v>
      </c>
      <c r="H110" s="1">
        <v>0.11547005383792516</v>
      </c>
      <c r="I110" s="9">
        <v>0.11547005383792516</v>
      </c>
    </row>
    <row r="111" spans="1:9" ht="17.25" customHeight="1" x14ac:dyDescent="0.3">
      <c r="A111" s="7">
        <v>1000</v>
      </c>
      <c r="B111" s="8">
        <v>1255</v>
      </c>
      <c r="D111" s="8">
        <v>1255</v>
      </c>
      <c r="E111" s="9">
        <v>0.11547005383792516</v>
      </c>
      <c r="F111" s="1">
        <v>981.5</v>
      </c>
      <c r="G111" s="8">
        <v>253</v>
      </c>
      <c r="H111" s="1">
        <v>0.11547005383792516</v>
      </c>
      <c r="I111" s="9">
        <v>0.11547005383792516</v>
      </c>
    </row>
    <row r="112" spans="1:9" ht="17.25" customHeight="1" x14ac:dyDescent="0.3">
      <c r="A112" s="7">
        <v>1100</v>
      </c>
      <c r="B112" s="8">
        <v>1349</v>
      </c>
      <c r="D112" s="8">
        <v>1349</v>
      </c>
      <c r="E112" s="9">
        <v>0.11547005383792516</v>
      </c>
      <c r="F112" s="1">
        <v>1081.5</v>
      </c>
      <c r="G112" s="8">
        <v>247</v>
      </c>
      <c r="H112" s="1">
        <v>0.11547005383792516</v>
      </c>
      <c r="I112" s="9">
        <v>0.11547005383792516</v>
      </c>
    </row>
    <row r="113" spans="1:9" ht="17.25" customHeight="1" x14ac:dyDescent="0.3">
      <c r="A113" s="7">
        <v>1200</v>
      </c>
      <c r="B113" s="8">
        <v>1445</v>
      </c>
      <c r="D113" s="8">
        <v>1445</v>
      </c>
      <c r="E113" s="9">
        <v>0.11547005383792516</v>
      </c>
      <c r="F113" s="1">
        <v>1181.5</v>
      </c>
      <c r="G113" s="8">
        <v>243</v>
      </c>
      <c r="H113" s="1">
        <v>0.11547005383792516</v>
      </c>
      <c r="I113" s="9">
        <v>0.11547005383792516</v>
      </c>
    </row>
    <row r="114" spans="1:9" ht="17.25" customHeight="1" x14ac:dyDescent="0.3">
      <c r="A114" s="7">
        <v>1300</v>
      </c>
      <c r="B114" s="8">
        <v>1542</v>
      </c>
      <c r="D114" s="8">
        <v>1542</v>
      </c>
      <c r="E114" s="9">
        <v>0.11547005383792516</v>
      </c>
      <c r="F114" s="1">
        <v>1281.5</v>
      </c>
      <c r="G114" s="8">
        <v>240</v>
      </c>
      <c r="H114" s="1">
        <v>0.11547005383792516</v>
      </c>
      <c r="I114" s="9">
        <v>0.11547005383792516</v>
      </c>
    </row>
    <row r="115" spans="1:9" ht="17.25" customHeight="1" x14ac:dyDescent="0.3">
      <c r="A115" s="7">
        <v>1400</v>
      </c>
      <c r="B115" s="8">
        <v>1638</v>
      </c>
      <c r="D115" s="8">
        <v>1638</v>
      </c>
      <c r="E115" s="9">
        <v>0.11547005383792516</v>
      </c>
      <c r="F115" s="1">
        <v>1381.5</v>
      </c>
      <c r="G115" s="8">
        <v>236</v>
      </c>
      <c r="H115" s="1">
        <v>0.11547005383792516</v>
      </c>
      <c r="I115" s="9">
        <v>0.11547005383792516</v>
      </c>
    </row>
    <row r="116" spans="1:9" ht="17.25" customHeight="1" x14ac:dyDescent="0.3">
      <c r="A116" s="7">
        <v>1500</v>
      </c>
      <c r="B116" s="8">
        <v>1736</v>
      </c>
      <c r="D116" s="8">
        <v>1736</v>
      </c>
      <c r="E116" s="9">
        <v>0.11547005383792516</v>
      </c>
      <c r="F116" s="1">
        <v>1481.5</v>
      </c>
      <c r="G116" s="8">
        <v>234</v>
      </c>
      <c r="H116" s="1">
        <v>0.11547005383792516</v>
      </c>
      <c r="I116" s="9">
        <v>0.11547005383792516</v>
      </c>
    </row>
    <row r="117" spans="1:9" ht="17.25" customHeight="1" x14ac:dyDescent="0.3">
      <c r="A117" s="7">
        <v>1650</v>
      </c>
      <c r="B117" s="8">
        <v>1882</v>
      </c>
      <c r="D117" s="8">
        <v>1882</v>
      </c>
      <c r="E117" s="9">
        <v>0.11547005383792516</v>
      </c>
      <c r="F117" s="1">
        <v>1631.5</v>
      </c>
      <c r="G117" s="8">
        <v>230</v>
      </c>
      <c r="H117" s="1">
        <v>0.11547005383792516</v>
      </c>
      <c r="I117" s="9">
        <v>0.11547005383792516</v>
      </c>
    </row>
    <row r="118" spans="1:9" ht="17.25" customHeight="1" x14ac:dyDescent="0.3">
      <c r="A118" s="7"/>
    </row>
    <row r="119" spans="1:9" ht="17.25" customHeight="1" x14ac:dyDescent="0.3">
      <c r="A119" s="7"/>
    </row>
    <row r="120" spans="1:9" ht="17.25" customHeight="1" x14ac:dyDescent="0.3">
      <c r="A120" s="7"/>
    </row>
    <row r="121" spans="1:9" ht="17.25" customHeight="1" x14ac:dyDescent="0.3">
      <c r="A121" s="7"/>
    </row>
    <row r="122" spans="1:9" ht="17.25" customHeight="1" x14ac:dyDescent="0.3">
      <c r="A122" s="7"/>
    </row>
    <row r="123" spans="1:9" ht="17.25" customHeight="1" x14ac:dyDescent="0.3">
      <c r="A123" s="7"/>
    </row>
    <row r="124" spans="1:9" ht="17.25" customHeight="1" x14ac:dyDescent="0.3">
      <c r="A124" s="7"/>
    </row>
    <row r="125" spans="1:9" ht="17.25" customHeight="1" x14ac:dyDescent="0.3">
      <c r="A125" s="7"/>
    </row>
    <row r="126" spans="1:9" ht="17.25" customHeight="1" x14ac:dyDescent="0.3"/>
    <row r="127" spans="1:9" ht="17.25" customHeight="1" x14ac:dyDescent="0.3"/>
    <row r="128" spans="1:9" ht="17.25" customHeight="1" x14ac:dyDescent="0.3"/>
    <row r="129" ht="17.25" customHeight="1" x14ac:dyDescent="0.3"/>
    <row r="130" ht="17.25" customHeight="1" x14ac:dyDescent="0.3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030A-C9C0-491B-95E3-7FF0A0FF5133}">
  <dimension ref="A1:K125"/>
  <sheetViews>
    <sheetView workbookViewId="0">
      <selection activeCell="G11" sqref="G11"/>
    </sheetView>
  </sheetViews>
  <sheetFormatPr defaultRowHeight="14.4" x14ac:dyDescent="0.3"/>
  <cols>
    <col min="1" max="2" width="12.44140625" style="8" customWidth="1"/>
    <col min="3" max="3" width="12.44140625" customWidth="1"/>
    <col min="4" max="5" width="12.44140625" style="8" customWidth="1"/>
    <col min="6" max="11" width="12.44140625" style="1" customWidth="1"/>
  </cols>
  <sheetData>
    <row r="1" spans="1:11" x14ac:dyDescent="0.3">
      <c r="A1" s="8" t="s">
        <v>14</v>
      </c>
      <c r="B1" s="8" t="s">
        <v>15</v>
      </c>
      <c r="C1" t="s">
        <v>16</v>
      </c>
      <c r="D1" s="8" t="s">
        <v>18</v>
      </c>
      <c r="E1" s="8" t="s">
        <v>9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11" x14ac:dyDescent="0.3">
      <c r="A2" s="7">
        <v>251</v>
      </c>
      <c r="B2" s="8">
        <v>1802</v>
      </c>
      <c r="C2">
        <v>1841</v>
      </c>
      <c r="D2" s="8">
        <v>1821.3956187495346</v>
      </c>
      <c r="E2" s="8">
        <v>11.258330249197703</v>
      </c>
      <c r="F2" s="1">
        <v>232.5</v>
      </c>
      <c r="G2" s="8">
        <v>1568.3956187495346</v>
      </c>
      <c r="H2" s="1">
        <v>11.258330249197703</v>
      </c>
      <c r="I2" s="1">
        <v>0.11547005383792516</v>
      </c>
      <c r="K2" s="8"/>
    </row>
    <row r="3" spans="1:11" x14ac:dyDescent="0.3">
      <c r="A3" s="7">
        <v>252</v>
      </c>
      <c r="B3" s="8">
        <v>1719</v>
      </c>
      <c r="C3">
        <v>1836</v>
      </c>
      <c r="D3" s="8">
        <v>1776.5370809527169</v>
      </c>
      <c r="E3" s="8">
        <v>33.774990747593108</v>
      </c>
      <c r="F3" s="1">
        <v>233.5</v>
      </c>
      <c r="G3" s="8">
        <v>1522.5370809527169</v>
      </c>
      <c r="H3" s="1">
        <v>33.774990747593108</v>
      </c>
      <c r="I3" s="1">
        <v>0.11547005383792516</v>
      </c>
      <c r="K3" s="8"/>
    </row>
    <row r="4" spans="1:11" x14ac:dyDescent="0.3">
      <c r="A4" s="7">
        <v>253</v>
      </c>
      <c r="B4" s="8">
        <v>1690</v>
      </c>
      <c r="C4">
        <v>1853</v>
      </c>
      <c r="D4" s="8">
        <v>1769.6242539025059</v>
      </c>
      <c r="E4" s="8">
        <v>47.0540469389545</v>
      </c>
      <c r="F4" s="1">
        <v>234.5</v>
      </c>
      <c r="G4" s="8">
        <v>1514.6242539025059</v>
      </c>
      <c r="H4" s="1">
        <v>47.0540469389545</v>
      </c>
      <c r="I4" s="1">
        <v>0.11547005383792516</v>
      </c>
      <c r="K4" s="8"/>
    </row>
    <row r="5" spans="1:11" x14ac:dyDescent="0.3">
      <c r="A5" s="7">
        <v>254</v>
      </c>
      <c r="B5" s="8">
        <v>1630</v>
      </c>
      <c r="C5">
        <v>1782</v>
      </c>
      <c r="D5" s="8">
        <v>1704.3063104970304</v>
      </c>
      <c r="E5" s="8">
        <v>43.878620458411561</v>
      </c>
      <c r="F5" s="1">
        <v>235.5</v>
      </c>
      <c r="G5" s="8">
        <v>1448.3063104970304</v>
      </c>
      <c r="H5" s="1">
        <v>43.878620458411561</v>
      </c>
      <c r="I5" s="1">
        <v>0.11547005383792516</v>
      </c>
      <c r="K5" s="8"/>
    </row>
    <row r="6" spans="1:11" x14ac:dyDescent="0.3">
      <c r="A6" s="7">
        <v>255</v>
      </c>
      <c r="B6" s="8">
        <v>1605</v>
      </c>
      <c r="C6">
        <v>1745</v>
      </c>
      <c r="D6" s="8">
        <v>1673.5366742321485</v>
      </c>
      <c r="E6" s="8">
        <v>40.414518843273804</v>
      </c>
      <c r="F6" s="1">
        <v>236.5</v>
      </c>
      <c r="G6" s="8">
        <v>1416.5366742321485</v>
      </c>
      <c r="H6" s="1">
        <v>40.414518843273804</v>
      </c>
      <c r="I6" s="1">
        <v>0.11547005383792516</v>
      </c>
      <c r="K6" s="8"/>
    </row>
    <row r="7" spans="1:11" x14ac:dyDescent="0.3">
      <c r="A7" s="7">
        <v>256</v>
      </c>
      <c r="B7" s="8">
        <v>1574</v>
      </c>
      <c r="C7">
        <v>1710</v>
      </c>
      <c r="D7" s="8">
        <v>1640.5913567979078</v>
      </c>
      <c r="E7" s="8">
        <v>39.259818304894551</v>
      </c>
      <c r="F7" s="1">
        <v>237.5</v>
      </c>
      <c r="G7" s="8">
        <v>1382.5913567979078</v>
      </c>
      <c r="H7" s="1">
        <v>39.259818304894551</v>
      </c>
      <c r="I7" s="1">
        <v>0.11547005383792516</v>
      </c>
      <c r="K7" s="8"/>
    </row>
    <row r="8" spans="1:11" x14ac:dyDescent="0.3">
      <c r="A8" s="7">
        <v>257</v>
      </c>
      <c r="B8" s="8">
        <v>1546</v>
      </c>
      <c r="C8">
        <v>1679</v>
      </c>
      <c r="D8" s="8">
        <v>1611.1281761548335</v>
      </c>
      <c r="E8" s="8">
        <v>38.393792901110118</v>
      </c>
      <c r="F8" s="1">
        <v>238.5</v>
      </c>
      <c r="G8" s="8">
        <v>1352.1281761548335</v>
      </c>
      <c r="H8" s="1">
        <v>38.393792901110118</v>
      </c>
      <c r="I8" s="1">
        <v>0.11547005383792516</v>
      </c>
      <c r="K8" s="8"/>
    </row>
    <row r="9" spans="1:11" x14ac:dyDescent="0.3">
      <c r="A9" s="7">
        <v>258</v>
      </c>
      <c r="B9" s="8">
        <v>1525</v>
      </c>
      <c r="C9">
        <v>1629</v>
      </c>
      <c r="D9" s="8">
        <v>1576.1424428014113</v>
      </c>
      <c r="E9" s="8">
        <v>30.02221399786054</v>
      </c>
      <c r="F9" s="1">
        <v>239.5</v>
      </c>
      <c r="G9" s="8">
        <v>1316.1424428014113</v>
      </c>
      <c r="H9" s="1">
        <v>30.02221399786054</v>
      </c>
      <c r="I9" s="1">
        <v>0.11547005383792516</v>
      </c>
      <c r="K9" s="8"/>
    </row>
    <row r="10" spans="1:11" x14ac:dyDescent="0.3">
      <c r="A10" s="7">
        <v>259</v>
      </c>
      <c r="B10" s="8">
        <v>1505</v>
      </c>
      <c r="C10">
        <v>1603</v>
      </c>
      <c r="D10" s="8">
        <v>1553.227285364251</v>
      </c>
      <c r="E10" s="8">
        <v>28.290163190291665</v>
      </c>
      <c r="F10" s="1">
        <v>240.5</v>
      </c>
      <c r="G10" s="8">
        <v>1292.227285364251</v>
      </c>
      <c r="H10" s="1">
        <v>28.290163190291665</v>
      </c>
      <c r="I10" s="1">
        <v>0.11547005383792516</v>
      </c>
      <c r="K10" s="8"/>
    </row>
    <row r="11" spans="1:11" x14ac:dyDescent="0.3">
      <c r="A11" s="7">
        <v>260</v>
      </c>
      <c r="B11" s="8">
        <v>1467</v>
      </c>
      <c r="C11">
        <v>1572</v>
      </c>
      <c r="D11" s="8">
        <v>1518.5927696390497</v>
      </c>
      <c r="E11" s="8">
        <v>30.310889132455355</v>
      </c>
      <c r="F11" s="1">
        <v>241.5</v>
      </c>
      <c r="G11" s="8">
        <v>1256.5927696390497</v>
      </c>
      <c r="H11" s="1">
        <v>30.310889132455355</v>
      </c>
      <c r="I11" s="1">
        <v>0.11547005383792516</v>
      </c>
      <c r="K11" s="8"/>
    </row>
    <row r="12" spans="1:11" x14ac:dyDescent="0.3">
      <c r="A12" s="7">
        <v>261</v>
      </c>
      <c r="B12" s="8">
        <v>1452</v>
      </c>
      <c r="C12">
        <v>1534</v>
      </c>
      <c r="D12" s="8">
        <v>1492.4369333409034</v>
      </c>
      <c r="E12" s="8">
        <v>23.671361036774659</v>
      </c>
      <c r="F12" s="1">
        <v>242.5</v>
      </c>
      <c r="G12" s="8">
        <v>1229.4369333409034</v>
      </c>
      <c r="H12" s="1">
        <v>23.671361036774659</v>
      </c>
      <c r="I12" s="1">
        <v>0.11547005383792516</v>
      </c>
      <c r="K12" s="8"/>
    </row>
    <row r="13" spans="1:11" x14ac:dyDescent="0.3">
      <c r="A13" s="7">
        <v>262</v>
      </c>
      <c r="B13" s="8">
        <v>1442</v>
      </c>
      <c r="C13">
        <v>1520</v>
      </c>
      <c r="D13" s="8">
        <v>1480.4864065569802</v>
      </c>
      <c r="E13" s="8">
        <v>22.516660498395407</v>
      </c>
      <c r="F13" s="1">
        <v>243.5</v>
      </c>
      <c r="G13" s="8">
        <v>1216.4864065569802</v>
      </c>
      <c r="H13" s="1">
        <v>22.516660498395407</v>
      </c>
      <c r="I13" s="1">
        <v>0.11547005383792516</v>
      </c>
      <c r="K13" s="8"/>
    </row>
    <row r="14" spans="1:11" x14ac:dyDescent="0.3">
      <c r="A14" s="7">
        <v>263</v>
      </c>
      <c r="B14" s="8">
        <v>1402</v>
      </c>
      <c r="C14">
        <v>1485</v>
      </c>
      <c r="D14" s="8">
        <v>1442.9033231647918</v>
      </c>
      <c r="E14" s="8">
        <v>23.96003617136947</v>
      </c>
      <c r="F14" s="1">
        <v>244.5</v>
      </c>
      <c r="G14" s="8">
        <v>1177.9033231647918</v>
      </c>
      <c r="H14" s="1">
        <v>23.96003617136947</v>
      </c>
      <c r="I14" s="1">
        <v>0.11547005383792516</v>
      </c>
      <c r="K14" s="8"/>
    </row>
    <row r="15" spans="1:11" x14ac:dyDescent="0.3">
      <c r="A15" s="7">
        <v>264</v>
      </c>
      <c r="B15" s="8">
        <v>1391</v>
      </c>
      <c r="C15">
        <v>1462</v>
      </c>
      <c r="D15" s="8">
        <v>1426.0582035807654</v>
      </c>
      <c r="E15" s="8">
        <v>20.495934556231717</v>
      </c>
      <c r="F15" s="1">
        <v>245.5</v>
      </c>
      <c r="G15" s="8">
        <v>1160.0582035807654</v>
      </c>
      <c r="H15" s="1">
        <v>20.495934556231717</v>
      </c>
      <c r="I15" s="1">
        <v>0.11547005383792516</v>
      </c>
      <c r="K15" s="8"/>
    </row>
    <row r="16" spans="1:11" x14ac:dyDescent="0.3">
      <c r="A16" s="7">
        <v>265</v>
      </c>
      <c r="B16" s="8">
        <v>1365</v>
      </c>
      <c r="C16">
        <v>1436</v>
      </c>
      <c r="D16" s="8">
        <v>1400.0499991071747</v>
      </c>
      <c r="E16" s="8">
        <v>20.495934556231717</v>
      </c>
      <c r="F16" s="1">
        <v>246.5</v>
      </c>
      <c r="G16" s="8">
        <v>1133.0499991071747</v>
      </c>
      <c r="H16" s="1">
        <v>20.495934556231717</v>
      </c>
      <c r="I16" s="1">
        <v>0.11547005383792516</v>
      </c>
      <c r="K16" s="8"/>
    </row>
    <row r="17" spans="1:11" x14ac:dyDescent="0.3">
      <c r="A17" s="7">
        <v>266</v>
      </c>
      <c r="B17" s="8">
        <v>1358</v>
      </c>
      <c r="C17">
        <v>1431</v>
      </c>
      <c r="D17" s="8">
        <v>1394.0222379861807</v>
      </c>
      <c r="E17" s="8">
        <v>21.073284825421343</v>
      </c>
      <c r="F17" s="1">
        <v>247.5</v>
      </c>
      <c r="G17" s="8">
        <v>1126.0222379861807</v>
      </c>
      <c r="H17" s="1">
        <v>21.073284825421343</v>
      </c>
      <c r="I17" s="1">
        <v>0.11547005383792516</v>
      </c>
      <c r="K17" s="8"/>
    </row>
    <row r="18" spans="1:11" x14ac:dyDescent="0.3">
      <c r="A18" s="7">
        <v>267</v>
      </c>
      <c r="B18" s="8">
        <v>1346</v>
      </c>
      <c r="C18">
        <v>1406</v>
      </c>
      <c r="D18" s="8">
        <v>1375.6729262437348</v>
      </c>
      <c r="E18" s="8">
        <v>17.320508075688775</v>
      </c>
      <c r="F18" s="1">
        <v>248.5</v>
      </c>
      <c r="G18" s="8">
        <v>1106.6729262437348</v>
      </c>
      <c r="H18" s="1">
        <v>17.320508075688775</v>
      </c>
      <c r="I18" s="1">
        <v>0.11547005383792516</v>
      </c>
      <c r="K18" s="8"/>
    </row>
    <row r="19" spans="1:11" x14ac:dyDescent="0.3">
      <c r="A19" s="7">
        <v>268</v>
      </c>
      <c r="B19" s="8">
        <v>1323</v>
      </c>
      <c r="C19">
        <v>1390</v>
      </c>
      <c r="D19" s="8">
        <v>1356.0862804408871</v>
      </c>
      <c r="E19" s="8">
        <v>19.341234017852464</v>
      </c>
      <c r="F19" s="1">
        <v>249.5</v>
      </c>
      <c r="G19" s="8">
        <v>1086.0862804408871</v>
      </c>
      <c r="H19" s="1">
        <v>19.341234017852464</v>
      </c>
      <c r="I19" s="1">
        <v>0.11547005383792516</v>
      </c>
      <c r="K19" s="8"/>
    </row>
    <row r="20" spans="1:11" x14ac:dyDescent="0.3">
      <c r="A20" s="7">
        <v>269</v>
      </c>
      <c r="B20" s="8">
        <v>1303</v>
      </c>
      <c r="C20">
        <v>1368</v>
      </c>
      <c r="D20" s="8">
        <v>1335.1044902928011</v>
      </c>
      <c r="E20" s="8">
        <v>18.763883748662838</v>
      </c>
      <c r="F20" s="1">
        <v>250.5</v>
      </c>
      <c r="G20" s="8">
        <v>1064.1044902928011</v>
      </c>
      <c r="H20" s="1">
        <v>18.763883748662838</v>
      </c>
      <c r="I20" s="1">
        <v>0.11547005383792516</v>
      </c>
      <c r="K20" s="8"/>
    </row>
    <row r="21" spans="1:11" x14ac:dyDescent="0.3">
      <c r="A21" s="7">
        <v>270</v>
      </c>
      <c r="B21" s="8">
        <v>1294</v>
      </c>
      <c r="C21">
        <v>1346</v>
      </c>
      <c r="D21" s="8">
        <v>1319.7439145531227</v>
      </c>
      <c r="E21" s="8">
        <v>15.01110699893027</v>
      </c>
      <c r="F21" s="1">
        <v>251.5</v>
      </c>
      <c r="G21" s="8">
        <v>1047.7439145531227</v>
      </c>
      <c r="H21" s="1">
        <v>15.01110699893027</v>
      </c>
      <c r="I21" s="1">
        <v>0.11547005383792516</v>
      </c>
      <c r="K21" s="8"/>
    </row>
    <row r="22" spans="1:11" x14ac:dyDescent="0.3">
      <c r="A22" s="7">
        <v>271</v>
      </c>
      <c r="B22" s="8">
        <v>1276</v>
      </c>
      <c r="C22">
        <v>1324</v>
      </c>
      <c r="D22" s="8">
        <v>1299.778442658594</v>
      </c>
      <c r="E22" s="8">
        <v>13.856406460551019</v>
      </c>
      <c r="F22" s="1">
        <v>252.5</v>
      </c>
      <c r="G22" s="8">
        <v>1026.778442658594</v>
      </c>
      <c r="H22" s="1">
        <v>13.856406460551019</v>
      </c>
      <c r="I22" s="1">
        <v>0.11547005383792516</v>
      </c>
      <c r="K22" s="8"/>
    </row>
    <row r="23" spans="1:11" x14ac:dyDescent="0.3">
      <c r="A23" s="7">
        <v>272</v>
      </c>
      <c r="B23" s="8">
        <v>1264</v>
      </c>
      <c r="C23">
        <v>1314</v>
      </c>
      <c r="D23" s="8">
        <v>1288.7575412000506</v>
      </c>
      <c r="E23" s="8">
        <v>14.433756729740645</v>
      </c>
      <c r="F23" s="1">
        <v>253.5</v>
      </c>
      <c r="G23" s="8">
        <v>1014.7575412000506</v>
      </c>
      <c r="H23" s="1">
        <v>14.433756729740645</v>
      </c>
      <c r="I23" s="1">
        <v>0.11547005383792516</v>
      </c>
      <c r="K23" s="8"/>
    </row>
    <row r="24" spans="1:11" x14ac:dyDescent="0.3">
      <c r="A24" s="7">
        <v>273</v>
      </c>
      <c r="B24" s="8">
        <v>1241</v>
      </c>
      <c r="C24">
        <v>1304</v>
      </c>
      <c r="D24" s="8">
        <v>1272.1100581317639</v>
      </c>
      <c r="E24" s="8">
        <v>18.186533479473212</v>
      </c>
      <c r="F24" s="1">
        <v>254.5</v>
      </c>
      <c r="G24" s="8">
        <v>997.11005813176394</v>
      </c>
      <c r="H24" s="1">
        <v>18.186533479473212</v>
      </c>
      <c r="I24" s="1">
        <v>0.11547005383792516</v>
      </c>
      <c r="K24" s="8"/>
    </row>
    <row r="25" spans="1:11" x14ac:dyDescent="0.3">
      <c r="A25" s="7">
        <v>274</v>
      </c>
      <c r="B25" s="8">
        <v>1236</v>
      </c>
      <c r="C25">
        <v>1289</v>
      </c>
      <c r="D25" s="8">
        <v>1262.221850547676</v>
      </c>
      <c r="E25" s="8">
        <v>15.299782133525083</v>
      </c>
      <c r="F25" s="1">
        <v>255.5</v>
      </c>
      <c r="G25" s="8">
        <v>986.22185054767601</v>
      </c>
      <c r="H25" s="1">
        <v>15.299782133525083</v>
      </c>
      <c r="I25" s="1">
        <v>0.11547005383792516</v>
      </c>
      <c r="K25" s="8"/>
    </row>
    <row r="26" spans="1:11" x14ac:dyDescent="0.3">
      <c r="A26" s="7">
        <v>275</v>
      </c>
      <c r="B26" s="8">
        <v>1221</v>
      </c>
      <c r="C26">
        <v>1268</v>
      </c>
      <c r="D26" s="8">
        <v>1244.2781039622935</v>
      </c>
      <c r="E26" s="8">
        <v>13.567731325956206</v>
      </c>
      <c r="F26" s="1">
        <v>256.5</v>
      </c>
      <c r="G26" s="8">
        <v>967.27810396229347</v>
      </c>
      <c r="H26" s="1">
        <v>13.567731325956206</v>
      </c>
      <c r="I26" s="1">
        <v>0.11547005383792516</v>
      </c>
      <c r="K26" s="8"/>
    </row>
    <row r="27" spans="1:11" x14ac:dyDescent="0.3">
      <c r="A27" s="7">
        <v>276</v>
      </c>
      <c r="B27" s="8">
        <v>1206</v>
      </c>
      <c r="C27">
        <v>1254</v>
      </c>
      <c r="D27" s="8">
        <v>1229.7658313679071</v>
      </c>
      <c r="E27" s="8">
        <v>13.856406460551019</v>
      </c>
      <c r="F27" s="1">
        <v>257.5</v>
      </c>
      <c r="G27" s="8">
        <v>951.76583136790714</v>
      </c>
      <c r="H27" s="1">
        <v>13.856406460551019</v>
      </c>
      <c r="I27" s="1">
        <v>0.11547005383792516</v>
      </c>
      <c r="K27" s="8"/>
    </row>
    <row r="28" spans="1:11" x14ac:dyDescent="0.3">
      <c r="A28" s="7">
        <v>277</v>
      </c>
      <c r="B28" s="8">
        <v>1196</v>
      </c>
      <c r="C28">
        <v>1234</v>
      </c>
      <c r="D28" s="8">
        <v>1214.8514312458128</v>
      </c>
      <c r="E28" s="8">
        <v>10.96965511460289</v>
      </c>
      <c r="F28" s="1">
        <v>258.5</v>
      </c>
      <c r="G28" s="8">
        <v>935.85143124581282</v>
      </c>
      <c r="H28" s="1">
        <v>10.96965511460289</v>
      </c>
      <c r="I28" s="1">
        <v>0.11547005383792516</v>
      </c>
      <c r="K28" s="8"/>
    </row>
    <row r="29" spans="1:11" x14ac:dyDescent="0.3">
      <c r="A29" s="7">
        <v>278</v>
      </c>
      <c r="B29" s="8">
        <v>1180</v>
      </c>
      <c r="C29">
        <v>1223</v>
      </c>
      <c r="D29" s="8">
        <v>1201.307620886507</v>
      </c>
      <c r="E29" s="8">
        <v>12.413030787576954</v>
      </c>
      <c r="F29" s="1">
        <v>259.5</v>
      </c>
      <c r="G29" s="8">
        <v>921.30762088650704</v>
      </c>
      <c r="H29" s="1">
        <v>12.413030787576954</v>
      </c>
      <c r="I29" s="1">
        <v>0.11547005383792516</v>
      </c>
      <c r="K29" s="8"/>
    </row>
    <row r="30" spans="1:11" x14ac:dyDescent="0.3">
      <c r="A30" s="7">
        <v>279</v>
      </c>
      <c r="B30" s="8">
        <v>1176</v>
      </c>
      <c r="C30">
        <v>1213</v>
      </c>
      <c r="D30" s="8">
        <v>1194.3567306295049</v>
      </c>
      <c r="E30" s="8">
        <v>10.680979980008077</v>
      </c>
      <c r="F30" s="1">
        <v>260.5</v>
      </c>
      <c r="G30" s="8">
        <v>913.35673062950491</v>
      </c>
      <c r="H30" s="1">
        <v>10.680979980008077</v>
      </c>
      <c r="I30" s="1">
        <v>0.11547005383792516</v>
      </c>
      <c r="K30" s="8"/>
    </row>
    <row r="31" spans="1:11" x14ac:dyDescent="0.3">
      <c r="A31" s="7">
        <v>280</v>
      </c>
      <c r="B31" s="8">
        <v>1164</v>
      </c>
      <c r="C31">
        <v>1205</v>
      </c>
      <c r="D31" s="8">
        <v>1184.3225911887353</v>
      </c>
      <c r="E31" s="8">
        <v>11.835680518387329</v>
      </c>
      <c r="F31" s="1">
        <v>261.5</v>
      </c>
      <c r="G31" s="8">
        <v>902.32259118873526</v>
      </c>
      <c r="H31" s="1">
        <v>11.835680518387329</v>
      </c>
      <c r="I31" s="1">
        <v>0.11547005383792516</v>
      </c>
      <c r="K31" s="8"/>
    </row>
    <row r="32" spans="1:11" x14ac:dyDescent="0.3">
      <c r="A32" s="7">
        <v>281</v>
      </c>
      <c r="B32" s="8">
        <v>1153</v>
      </c>
      <c r="C32">
        <v>1189</v>
      </c>
      <c r="D32" s="8">
        <v>1170.8616485306879</v>
      </c>
      <c r="E32" s="8">
        <v>10.392304845413264</v>
      </c>
      <c r="F32" s="1">
        <v>262.5</v>
      </c>
      <c r="G32" s="8">
        <v>887.86164853068794</v>
      </c>
      <c r="H32" s="1">
        <v>10.392304845413264</v>
      </c>
      <c r="I32" s="1">
        <v>0.11547005383792516</v>
      </c>
      <c r="K32" s="8"/>
    </row>
    <row r="33" spans="1:11" x14ac:dyDescent="0.3">
      <c r="A33" s="7">
        <v>282</v>
      </c>
      <c r="B33" s="8">
        <v>1149</v>
      </c>
      <c r="C33">
        <v>1182</v>
      </c>
      <c r="D33" s="8">
        <v>1165.3831987805556</v>
      </c>
      <c r="E33" s="8">
        <v>9.5262794416288248</v>
      </c>
      <c r="F33" s="1">
        <v>263.5</v>
      </c>
      <c r="G33" s="8">
        <v>881.38319878055563</v>
      </c>
      <c r="H33" s="1">
        <v>9.5262794416288248</v>
      </c>
      <c r="I33" s="1">
        <v>0.11547005383792516</v>
      </c>
      <c r="K33" s="8"/>
    </row>
    <row r="34" spans="1:11" x14ac:dyDescent="0.3">
      <c r="A34" s="7">
        <v>283</v>
      </c>
      <c r="B34" s="8">
        <v>1136</v>
      </c>
      <c r="C34">
        <v>1169</v>
      </c>
      <c r="D34" s="8">
        <v>1152.3818811487797</v>
      </c>
      <c r="E34" s="8">
        <v>9.5262794416288248</v>
      </c>
      <c r="F34" s="1">
        <v>264.5</v>
      </c>
      <c r="G34" s="8">
        <v>867.38188114877971</v>
      </c>
      <c r="H34" s="1">
        <v>9.5262794416288248</v>
      </c>
      <c r="I34" s="1">
        <v>0.11547005383792516</v>
      </c>
      <c r="K34" s="8"/>
    </row>
    <row r="35" spans="1:11" x14ac:dyDescent="0.3">
      <c r="A35" s="7">
        <v>284</v>
      </c>
      <c r="B35" s="8">
        <v>1122</v>
      </c>
      <c r="C35">
        <v>1163</v>
      </c>
      <c r="D35" s="8">
        <v>1142.3160683453596</v>
      </c>
      <c r="E35" s="8">
        <v>11.835680518387329</v>
      </c>
      <c r="F35" s="1">
        <v>265.5</v>
      </c>
      <c r="G35" s="8">
        <v>856.31606834535955</v>
      </c>
      <c r="H35" s="1">
        <v>11.835680518387329</v>
      </c>
      <c r="I35" s="1">
        <v>0.11547005383792516</v>
      </c>
      <c r="K35" s="8"/>
    </row>
    <row r="36" spans="1:11" x14ac:dyDescent="0.3">
      <c r="A36" s="7">
        <v>286</v>
      </c>
      <c r="B36" s="8">
        <v>1110</v>
      </c>
      <c r="C36">
        <v>1138</v>
      </c>
      <c r="D36" s="8">
        <v>1123.9128080060302</v>
      </c>
      <c r="E36" s="8">
        <v>8.0829037686547611</v>
      </c>
      <c r="F36" s="1">
        <v>267.5</v>
      </c>
      <c r="G36" s="8">
        <v>835.91280800603022</v>
      </c>
      <c r="H36" s="1">
        <v>8.0829037686547611</v>
      </c>
      <c r="I36" s="1">
        <v>0.11547005383792516</v>
      </c>
      <c r="K36" s="8"/>
    </row>
    <row r="37" spans="1:11" x14ac:dyDescent="0.3">
      <c r="A37" s="7">
        <v>288</v>
      </c>
      <c r="B37" s="8">
        <v>1094</v>
      </c>
      <c r="C37">
        <v>1121</v>
      </c>
      <c r="D37" s="8">
        <v>1107.4177170336404</v>
      </c>
      <c r="E37" s="8">
        <v>7.794228634059948</v>
      </c>
      <c r="F37" s="1">
        <v>269.5</v>
      </c>
      <c r="G37" s="8">
        <v>817.41771703364043</v>
      </c>
      <c r="H37" s="1">
        <v>7.794228634059948</v>
      </c>
      <c r="I37" s="1">
        <v>0.11547005383792516</v>
      </c>
      <c r="K37" s="8"/>
    </row>
    <row r="38" spans="1:11" x14ac:dyDescent="0.3">
      <c r="A38" s="7">
        <v>290</v>
      </c>
      <c r="B38" s="8">
        <v>1076</v>
      </c>
      <c r="C38">
        <v>1107</v>
      </c>
      <c r="D38" s="8">
        <v>1091.3899394808439</v>
      </c>
      <c r="E38" s="8">
        <v>8.9489291724392004</v>
      </c>
      <c r="F38" s="1">
        <v>271.5</v>
      </c>
      <c r="G38" s="8">
        <v>799.38993948084385</v>
      </c>
      <c r="H38" s="1">
        <v>8.9489291724392004</v>
      </c>
      <c r="I38" s="1">
        <v>0.11547005383792516</v>
      </c>
      <c r="K38" s="8"/>
    </row>
    <row r="39" spans="1:11" x14ac:dyDescent="0.3">
      <c r="A39" s="7">
        <v>292</v>
      </c>
      <c r="B39" s="8">
        <v>1064</v>
      </c>
      <c r="C39">
        <v>1092</v>
      </c>
      <c r="D39" s="8">
        <v>1077.9090870755288</v>
      </c>
      <c r="E39" s="8">
        <v>8.0829037686547611</v>
      </c>
      <c r="F39" s="1">
        <v>273.5</v>
      </c>
      <c r="G39" s="8">
        <v>783.90908707552876</v>
      </c>
      <c r="H39" s="1">
        <v>8.0829037686547611</v>
      </c>
      <c r="I39" s="1">
        <v>0.11547005383792516</v>
      </c>
      <c r="K39" s="8"/>
    </row>
    <row r="40" spans="1:11" x14ac:dyDescent="0.3">
      <c r="A40" s="7">
        <v>294</v>
      </c>
      <c r="B40" s="8">
        <v>1048</v>
      </c>
      <c r="C40">
        <v>1079</v>
      </c>
      <c r="D40" s="8">
        <v>1063.3870414858363</v>
      </c>
      <c r="E40" s="8">
        <v>8.9489291724392004</v>
      </c>
      <c r="F40" s="1">
        <v>275.5</v>
      </c>
      <c r="G40" s="8">
        <v>767.38704148583633</v>
      </c>
      <c r="H40" s="1">
        <v>8.9489291724392004</v>
      </c>
      <c r="I40" s="1">
        <v>0.11547005383792516</v>
      </c>
      <c r="K40" s="8"/>
    </row>
    <row r="41" spans="1:11" x14ac:dyDescent="0.3">
      <c r="A41" s="7">
        <v>296</v>
      </c>
      <c r="B41" s="8">
        <v>1041</v>
      </c>
      <c r="C41">
        <v>1064</v>
      </c>
      <c r="D41" s="8">
        <v>1052.4371715214168</v>
      </c>
      <c r="E41" s="8">
        <v>6.6395280956806966</v>
      </c>
      <c r="F41" s="1">
        <v>277.5</v>
      </c>
      <c r="G41" s="8">
        <v>754.43717152141676</v>
      </c>
      <c r="H41" s="1">
        <v>6.6395280956806966</v>
      </c>
      <c r="I41" s="1">
        <v>0.11547005383792516</v>
      </c>
      <c r="K41" s="8"/>
    </row>
    <row r="42" spans="1:11" x14ac:dyDescent="0.3">
      <c r="A42" s="7">
        <v>299</v>
      </c>
      <c r="B42" s="8">
        <v>1015</v>
      </c>
      <c r="C42">
        <v>1047</v>
      </c>
      <c r="D42" s="8">
        <v>1030.875841214644</v>
      </c>
      <c r="E42" s="8">
        <v>9.2376043070340135</v>
      </c>
      <c r="F42" s="1">
        <v>280.5</v>
      </c>
      <c r="G42" s="8">
        <v>729.87584121464397</v>
      </c>
      <c r="H42" s="1">
        <v>9.2376043070340135</v>
      </c>
      <c r="I42" s="1">
        <v>0.11547005383792516</v>
      </c>
      <c r="K42" s="8"/>
    </row>
    <row r="43" spans="1:11" x14ac:dyDescent="0.3">
      <c r="A43" s="7">
        <v>300</v>
      </c>
      <c r="B43" s="8">
        <v>1011</v>
      </c>
      <c r="C43">
        <v>1044</v>
      </c>
      <c r="D43" s="8">
        <v>1027.3675097062394</v>
      </c>
      <c r="E43" s="8">
        <v>9.5262794416288248</v>
      </c>
      <c r="F43" s="1">
        <v>281.5</v>
      </c>
      <c r="G43" s="8">
        <v>725.36750970623939</v>
      </c>
      <c r="H43" s="1">
        <v>9.5262794416288248</v>
      </c>
      <c r="I43" s="1">
        <v>0.11547005383792516</v>
      </c>
      <c r="K43" s="8"/>
    </row>
    <row r="44" spans="1:11" x14ac:dyDescent="0.3">
      <c r="A44" s="7">
        <v>301</v>
      </c>
      <c r="B44" s="8">
        <v>1005</v>
      </c>
      <c r="C44">
        <v>1037</v>
      </c>
      <c r="D44" s="8">
        <v>1020.8746250152367</v>
      </c>
      <c r="E44" s="8">
        <v>9.2376043070340135</v>
      </c>
      <c r="F44" s="1">
        <v>282.5</v>
      </c>
      <c r="G44" s="8">
        <v>717.87462501523669</v>
      </c>
      <c r="H44" s="1">
        <v>9.2376043070340135</v>
      </c>
      <c r="I44" s="1">
        <v>0.11547005383792516</v>
      </c>
      <c r="K44" s="8"/>
    </row>
    <row r="45" spans="1:11" x14ac:dyDescent="0.3">
      <c r="A45" s="7">
        <v>302</v>
      </c>
      <c r="B45" s="8">
        <v>1001</v>
      </c>
      <c r="C45">
        <v>1020</v>
      </c>
      <c r="D45" s="8">
        <v>1010.4553429023966</v>
      </c>
      <c r="E45" s="8">
        <v>5.4848275573014451</v>
      </c>
      <c r="F45" s="1">
        <v>283.5</v>
      </c>
      <c r="G45" s="8">
        <v>706.45534290239664</v>
      </c>
      <c r="H45" s="1">
        <v>5.4848275573014451</v>
      </c>
      <c r="I45" s="1">
        <v>0.11547005383792516</v>
      </c>
      <c r="K45" s="8"/>
    </row>
    <row r="46" spans="1:11" x14ac:dyDescent="0.3">
      <c r="A46" s="7">
        <v>303</v>
      </c>
      <c r="B46" s="8">
        <v>992</v>
      </c>
      <c r="C46">
        <v>1015</v>
      </c>
      <c r="D46" s="8">
        <v>1003.43410346669</v>
      </c>
      <c r="E46" s="8">
        <v>6.6395280956806966</v>
      </c>
      <c r="F46" s="1">
        <v>284.5</v>
      </c>
      <c r="G46" s="8">
        <v>698.43410346668998</v>
      </c>
      <c r="H46" s="1">
        <v>6.6395280956806966</v>
      </c>
      <c r="I46" s="1">
        <v>0.11547005383792516</v>
      </c>
      <c r="K46" s="8"/>
    </row>
    <row r="47" spans="1:11" x14ac:dyDescent="0.3">
      <c r="A47" s="7">
        <v>304</v>
      </c>
      <c r="B47" s="8">
        <v>992</v>
      </c>
      <c r="C47">
        <v>1015</v>
      </c>
      <c r="D47" s="8">
        <v>1003.43410346669</v>
      </c>
      <c r="E47" s="8">
        <v>6.6395280956806966</v>
      </c>
      <c r="F47" s="1">
        <v>285.5</v>
      </c>
      <c r="G47" s="8">
        <v>697.43410346668998</v>
      </c>
      <c r="H47" s="1">
        <v>6.6395280956806966</v>
      </c>
      <c r="I47" s="1">
        <v>0.11547005383792516</v>
      </c>
      <c r="K47" s="8"/>
    </row>
    <row r="48" spans="1:11" x14ac:dyDescent="0.3">
      <c r="A48" s="7">
        <v>305</v>
      </c>
      <c r="B48" s="8">
        <v>986</v>
      </c>
      <c r="C48">
        <v>1006</v>
      </c>
      <c r="D48" s="8">
        <v>995.94979793160257</v>
      </c>
      <c r="E48" s="8">
        <v>5.7735026918962582</v>
      </c>
      <c r="F48" s="1">
        <v>286.5</v>
      </c>
      <c r="G48" s="8">
        <v>688.94979793160257</v>
      </c>
      <c r="H48" s="1">
        <v>5.7735026918962582</v>
      </c>
      <c r="I48" s="1">
        <v>0.11547005383792516</v>
      </c>
      <c r="K48" s="8"/>
    </row>
    <row r="49" spans="1:11" x14ac:dyDescent="0.3">
      <c r="A49" s="7">
        <v>306</v>
      </c>
      <c r="B49" s="8">
        <v>985</v>
      </c>
      <c r="C49">
        <v>1000</v>
      </c>
      <c r="D49" s="8">
        <v>992.47166206396048</v>
      </c>
      <c r="E49" s="8">
        <v>4.3301270189221936</v>
      </c>
      <c r="F49" s="1">
        <v>287.5</v>
      </c>
      <c r="G49" s="8">
        <v>684.47166206396048</v>
      </c>
      <c r="H49" s="1">
        <v>4.3301270189221936</v>
      </c>
      <c r="I49" s="1">
        <v>0.11547005383792516</v>
      </c>
      <c r="K49" s="8"/>
    </row>
    <row r="50" spans="1:11" x14ac:dyDescent="0.3">
      <c r="A50" s="7">
        <v>307</v>
      </c>
      <c r="B50" s="8">
        <v>981</v>
      </c>
      <c r="C50">
        <v>999</v>
      </c>
      <c r="D50" s="8">
        <v>989.95909006382692</v>
      </c>
      <c r="E50" s="8">
        <v>5.196152422706632</v>
      </c>
      <c r="F50" s="1">
        <v>288.5</v>
      </c>
      <c r="G50" s="8">
        <v>680.95909006382692</v>
      </c>
      <c r="H50" s="1">
        <v>5.196152422706632</v>
      </c>
      <c r="I50" s="1">
        <v>0.11547005383792516</v>
      </c>
      <c r="K50" s="8"/>
    </row>
    <row r="51" spans="1:11" x14ac:dyDescent="0.3">
      <c r="A51" s="7">
        <v>308</v>
      </c>
      <c r="B51" s="8">
        <v>975</v>
      </c>
      <c r="C51">
        <v>992</v>
      </c>
      <c r="D51" s="8">
        <v>983.46326825153972</v>
      </c>
      <c r="E51" s="8">
        <v>4.9074772881118189</v>
      </c>
      <c r="F51" s="1">
        <v>289.5</v>
      </c>
      <c r="G51" s="8">
        <v>673.46326825153972</v>
      </c>
      <c r="H51" s="1">
        <v>4.9074772881118189</v>
      </c>
      <c r="I51" s="1">
        <v>0.11547005383792516</v>
      </c>
      <c r="K51" s="8"/>
    </row>
    <row r="52" spans="1:11" x14ac:dyDescent="0.3">
      <c r="A52" s="7">
        <v>309</v>
      </c>
      <c r="B52" s="8">
        <v>971</v>
      </c>
      <c r="C52">
        <v>988</v>
      </c>
      <c r="D52" s="8">
        <v>979.46311824386737</v>
      </c>
      <c r="E52" s="8">
        <v>4.9074772881118189</v>
      </c>
      <c r="F52" s="1">
        <v>290.5</v>
      </c>
      <c r="G52" s="8">
        <v>668.46311824386737</v>
      </c>
      <c r="H52" s="1">
        <v>4.9074772881118189</v>
      </c>
      <c r="I52" s="1">
        <v>0.11547005383792516</v>
      </c>
      <c r="K52" s="8"/>
    </row>
    <row r="53" spans="1:11" x14ac:dyDescent="0.3">
      <c r="A53" s="7">
        <v>310</v>
      </c>
      <c r="B53" s="8">
        <v>968</v>
      </c>
      <c r="C53">
        <v>987</v>
      </c>
      <c r="D53" s="8">
        <v>977.45383522701468</v>
      </c>
      <c r="E53" s="8">
        <v>5.4848275573014451</v>
      </c>
      <c r="F53" s="1">
        <v>291.5</v>
      </c>
      <c r="G53" s="8">
        <v>665.45383522701468</v>
      </c>
      <c r="H53" s="1">
        <v>5.4848275573014451</v>
      </c>
      <c r="I53" s="1">
        <v>0.11547005383792516</v>
      </c>
      <c r="K53" s="8"/>
    </row>
    <row r="54" spans="1:11" x14ac:dyDescent="0.3">
      <c r="A54" s="7">
        <v>311</v>
      </c>
      <c r="B54" s="8">
        <v>965</v>
      </c>
      <c r="C54">
        <v>974</v>
      </c>
      <c r="D54" s="8">
        <v>969.48955641615851</v>
      </c>
      <c r="E54" s="8">
        <v>2.598076211353316</v>
      </c>
      <c r="F54" s="1">
        <v>292.5</v>
      </c>
      <c r="G54" s="8">
        <v>656.48955641615851</v>
      </c>
      <c r="H54" s="1">
        <v>2.598076211353316</v>
      </c>
      <c r="I54" s="1">
        <v>0.11547005383792516</v>
      </c>
      <c r="K54" s="8"/>
    </row>
    <row r="55" spans="1:11" x14ac:dyDescent="0.3">
      <c r="A55" s="7">
        <v>312</v>
      </c>
      <c r="B55" s="8">
        <v>960</v>
      </c>
      <c r="C55">
        <v>976</v>
      </c>
      <c r="D55" s="8">
        <v>967.96694158426715</v>
      </c>
      <c r="E55" s="8">
        <v>4.6188021535170067</v>
      </c>
      <c r="F55" s="1">
        <v>293.5</v>
      </c>
      <c r="G55" s="8">
        <v>653.96694158426715</v>
      </c>
      <c r="H55" s="1">
        <v>4.6188021535170067</v>
      </c>
      <c r="I55" s="1">
        <v>0.11547005383792516</v>
      </c>
      <c r="K55" s="8"/>
    </row>
    <row r="56" spans="1:11" x14ac:dyDescent="0.3">
      <c r="A56" s="7">
        <v>313</v>
      </c>
      <c r="B56" s="8">
        <v>957</v>
      </c>
      <c r="C56">
        <v>969</v>
      </c>
      <c r="D56" s="8">
        <v>962.98130822981193</v>
      </c>
      <c r="E56" s="8">
        <v>3.4641016151377548</v>
      </c>
      <c r="F56" s="1">
        <v>294.5</v>
      </c>
      <c r="G56" s="8">
        <v>647.98130822981193</v>
      </c>
      <c r="H56" s="1">
        <v>3.4641016151377548</v>
      </c>
      <c r="I56" s="1">
        <v>0.11547005383792516</v>
      </c>
      <c r="K56" s="8"/>
    </row>
    <row r="57" spans="1:11" x14ac:dyDescent="0.3">
      <c r="A57" s="7">
        <v>314</v>
      </c>
      <c r="B57" s="8">
        <v>955</v>
      </c>
      <c r="C57">
        <v>967</v>
      </c>
      <c r="D57" s="8">
        <v>960.98126932838807</v>
      </c>
      <c r="E57" s="8">
        <v>3.4641016151377548</v>
      </c>
      <c r="F57" s="1">
        <v>295.5</v>
      </c>
      <c r="G57" s="8">
        <v>644.98126932838807</v>
      </c>
      <c r="H57" s="1">
        <v>3.4641016151377548</v>
      </c>
      <c r="I57" s="1">
        <v>0.11547005383792516</v>
      </c>
      <c r="K57" s="8"/>
    </row>
    <row r="58" spans="1:11" x14ac:dyDescent="0.3">
      <c r="A58" s="7">
        <v>316</v>
      </c>
      <c r="B58" s="8">
        <v>945</v>
      </c>
      <c r="C58">
        <v>961</v>
      </c>
      <c r="D58" s="8">
        <v>952.9664212342426</v>
      </c>
      <c r="E58" s="8">
        <v>4.6188021535170067</v>
      </c>
      <c r="F58" s="1">
        <v>297.5</v>
      </c>
      <c r="G58" s="8">
        <v>634.9664212342426</v>
      </c>
      <c r="H58" s="1">
        <v>4.6188021535170067</v>
      </c>
      <c r="I58" s="1">
        <v>0.11547005383792516</v>
      </c>
      <c r="K58" s="8"/>
    </row>
    <row r="59" spans="1:11" x14ac:dyDescent="0.3">
      <c r="A59" s="7">
        <v>318</v>
      </c>
      <c r="B59" s="8">
        <v>940</v>
      </c>
      <c r="C59">
        <v>953</v>
      </c>
      <c r="D59" s="8">
        <v>946.47768066658602</v>
      </c>
      <c r="E59" s="8">
        <v>3.7527767497325675</v>
      </c>
      <c r="F59" s="1">
        <v>299.5</v>
      </c>
      <c r="G59" s="8">
        <v>626.47768066658602</v>
      </c>
      <c r="H59" s="1">
        <v>3.7527767497325675</v>
      </c>
      <c r="I59" s="1">
        <v>0.11547005383792516</v>
      </c>
      <c r="K59" s="8"/>
    </row>
    <row r="60" spans="1:11" x14ac:dyDescent="0.3">
      <c r="A60" s="7">
        <v>320</v>
      </c>
      <c r="B60" s="8">
        <v>929</v>
      </c>
      <c r="C60">
        <v>945</v>
      </c>
      <c r="D60" s="8">
        <v>936.96584783011167</v>
      </c>
      <c r="E60" s="8">
        <v>4.6188021535170067</v>
      </c>
      <c r="F60" s="1">
        <v>301.5</v>
      </c>
      <c r="G60" s="8">
        <v>614.96584783011167</v>
      </c>
      <c r="H60" s="1">
        <v>4.6188021535170067</v>
      </c>
      <c r="I60" s="1">
        <v>0.11547005383792516</v>
      </c>
      <c r="K60" s="8"/>
    </row>
    <row r="61" spans="1:11" x14ac:dyDescent="0.3">
      <c r="A61" s="7">
        <v>325</v>
      </c>
      <c r="B61" s="8">
        <v>916</v>
      </c>
      <c r="C61">
        <v>930</v>
      </c>
      <c r="D61" s="8">
        <v>922.97345573965447</v>
      </c>
      <c r="E61" s="8">
        <v>4.0414518843273806</v>
      </c>
      <c r="F61" s="1">
        <v>306.5</v>
      </c>
      <c r="G61" s="8">
        <v>595.97345573965447</v>
      </c>
      <c r="H61" s="1">
        <v>4.0414518843273806</v>
      </c>
      <c r="I61" s="1">
        <v>0.11547005383792516</v>
      </c>
      <c r="K61" s="8"/>
    </row>
    <row r="62" spans="1:11" x14ac:dyDescent="0.3">
      <c r="A62" s="7">
        <v>330</v>
      </c>
      <c r="B62" s="8">
        <v>906</v>
      </c>
      <c r="C62">
        <v>915</v>
      </c>
      <c r="D62" s="8">
        <v>910.48887966849986</v>
      </c>
      <c r="E62" s="8">
        <v>2.598076211353316</v>
      </c>
      <c r="F62" s="1">
        <v>311.5</v>
      </c>
      <c r="G62" s="8">
        <v>578.48887966849986</v>
      </c>
      <c r="H62" s="1">
        <v>2.598076211353316</v>
      </c>
      <c r="I62" s="1">
        <v>0.11547005383792516</v>
      </c>
      <c r="K62" s="8"/>
    </row>
    <row r="63" spans="1:11" x14ac:dyDescent="0.3">
      <c r="A63" s="7">
        <v>335</v>
      </c>
      <c r="B63" s="8">
        <v>886</v>
      </c>
      <c r="D63" s="8">
        <v>886</v>
      </c>
      <c r="E63" s="9">
        <v>0.11547005383792516</v>
      </c>
      <c r="F63" s="1">
        <v>316.5</v>
      </c>
      <c r="G63" s="8">
        <v>549</v>
      </c>
      <c r="H63" s="9">
        <v>0.11547005383792516</v>
      </c>
      <c r="I63" s="1">
        <v>0.11547005383792516</v>
      </c>
      <c r="K63" s="8"/>
    </row>
    <row r="64" spans="1:11" x14ac:dyDescent="0.3">
      <c r="A64" s="7">
        <v>340</v>
      </c>
      <c r="B64" s="8">
        <v>871</v>
      </c>
      <c r="D64" s="8">
        <v>871</v>
      </c>
      <c r="E64" s="9">
        <v>0.11547005383792516</v>
      </c>
      <c r="F64" s="1">
        <v>321.5</v>
      </c>
      <c r="G64" s="8">
        <v>529</v>
      </c>
      <c r="H64" s="9">
        <v>0.11547005383792516</v>
      </c>
      <c r="I64" s="1">
        <v>0.11547005383792516</v>
      </c>
      <c r="K64" s="8"/>
    </row>
    <row r="65" spans="1:11" x14ac:dyDescent="0.3">
      <c r="A65" s="7">
        <v>345</v>
      </c>
      <c r="B65" s="8">
        <v>870</v>
      </c>
      <c r="D65" s="8">
        <v>870</v>
      </c>
      <c r="E65" s="9">
        <v>0.11547005383792516</v>
      </c>
      <c r="F65" s="1">
        <v>326.5</v>
      </c>
      <c r="G65" s="8">
        <v>523</v>
      </c>
      <c r="H65" s="9">
        <v>0.11547005383792516</v>
      </c>
      <c r="I65" s="1">
        <v>0.11547005383792516</v>
      </c>
      <c r="K65" s="8"/>
    </row>
    <row r="66" spans="1:11" x14ac:dyDescent="0.3">
      <c r="A66" s="7">
        <v>350</v>
      </c>
      <c r="B66" s="8">
        <v>864</v>
      </c>
      <c r="D66" s="8">
        <v>864</v>
      </c>
      <c r="E66" s="9">
        <v>0.11547005383792516</v>
      </c>
      <c r="F66" s="1">
        <v>331.5</v>
      </c>
      <c r="G66" s="8">
        <v>512</v>
      </c>
      <c r="H66" s="9">
        <v>0.11547005383792516</v>
      </c>
      <c r="I66" s="1">
        <v>0.11547005383792516</v>
      </c>
      <c r="K66" s="8"/>
    </row>
    <row r="67" spans="1:11" x14ac:dyDescent="0.3">
      <c r="A67" s="7">
        <v>355</v>
      </c>
      <c r="B67" s="8">
        <v>856</v>
      </c>
      <c r="D67" s="8">
        <v>856</v>
      </c>
      <c r="E67" s="9">
        <v>0.11547005383792516</v>
      </c>
      <c r="F67" s="1">
        <v>336.5</v>
      </c>
      <c r="G67" s="8">
        <v>499</v>
      </c>
      <c r="H67" s="9">
        <v>0.11547005383792516</v>
      </c>
      <c r="I67" s="1">
        <v>0.11547005383792516</v>
      </c>
      <c r="K67" s="8"/>
    </row>
    <row r="68" spans="1:11" x14ac:dyDescent="0.3">
      <c r="A68" s="7">
        <v>360</v>
      </c>
      <c r="B68" s="8">
        <v>851</v>
      </c>
      <c r="D68" s="8">
        <v>851</v>
      </c>
      <c r="E68" s="9">
        <v>0.11547005383792516</v>
      </c>
      <c r="F68" s="1">
        <v>341.5</v>
      </c>
      <c r="G68" s="8">
        <v>489</v>
      </c>
      <c r="H68" s="9">
        <v>0.11547005383792516</v>
      </c>
      <c r="I68" s="1">
        <v>0.11547005383792516</v>
      </c>
      <c r="K68" s="8"/>
    </row>
    <row r="69" spans="1:11" x14ac:dyDescent="0.3">
      <c r="A69" s="7">
        <v>365</v>
      </c>
      <c r="B69" s="8">
        <v>846</v>
      </c>
      <c r="D69" s="8">
        <v>846</v>
      </c>
      <c r="E69" s="9">
        <v>0.11547005383792516</v>
      </c>
      <c r="F69" s="1">
        <v>346.5</v>
      </c>
      <c r="G69" s="8">
        <v>479</v>
      </c>
      <c r="H69" s="9">
        <v>0.11547005383792516</v>
      </c>
      <c r="I69" s="1">
        <v>0.11547005383792516</v>
      </c>
      <c r="K69" s="8"/>
    </row>
    <row r="70" spans="1:11" x14ac:dyDescent="0.3">
      <c r="A70" s="7">
        <v>370</v>
      </c>
      <c r="B70" s="8">
        <v>840</v>
      </c>
      <c r="D70" s="8">
        <v>840</v>
      </c>
      <c r="E70" s="9">
        <v>0.11547005383792516</v>
      </c>
      <c r="F70" s="1">
        <v>351.5</v>
      </c>
      <c r="G70" s="8">
        <v>468</v>
      </c>
      <c r="H70" s="9">
        <v>0.11547005383792516</v>
      </c>
      <c r="I70" s="1">
        <v>0.11547005383792516</v>
      </c>
      <c r="K70" s="8"/>
    </row>
    <row r="71" spans="1:11" x14ac:dyDescent="0.3">
      <c r="A71" s="7">
        <v>375</v>
      </c>
      <c r="B71" s="8">
        <v>835</v>
      </c>
      <c r="D71" s="8">
        <v>835</v>
      </c>
      <c r="E71" s="9">
        <v>0.11547005383792516</v>
      </c>
      <c r="F71" s="1">
        <v>356.5</v>
      </c>
      <c r="G71" s="8">
        <v>458</v>
      </c>
      <c r="H71" s="9">
        <v>0.11547005383792516</v>
      </c>
      <c r="I71" s="1">
        <v>0.11547005383792516</v>
      </c>
      <c r="K71" s="8"/>
    </row>
    <row r="72" spans="1:11" x14ac:dyDescent="0.3">
      <c r="A72" s="7">
        <v>380</v>
      </c>
      <c r="B72" s="8">
        <v>833</v>
      </c>
      <c r="D72" s="8">
        <v>833</v>
      </c>
      <c r="E72" s="9">
        <v>0.11547005383792516</v>
      </c>
      <c r="F72" s="1">
        <v>361.5</v>
      </c>
      <c r="G72" s="8">
        <v>451</v>
      </c>
      <c r="H72" s="9">
        <v>0.11547005383792516</v>
      </c>
      <c r="I72" s="1">
        <v>0.11547005383792516</v>
      </c>
      <c r="K72" s="8"/>
    </row>
    <row r="73" spans="1:11" x14ac:dyDescent="0.3">
      <c r="A73" s="7">
        <v>385</v>
      </c>
      <c r="B73" s="8">
        <v>832</v>
      </c>
      <c r="D73" s="8">
        <v>832</v>
      </c>
      <c r="E73" s="9">
        <v>0.11547005383792516</v>
      </c>
      <c r="F73" s="1">
        <v>366.5</v>
      </c>
      <c r="G73" s="8">
        <v>445</v>
      </c>
      <c r="H73" s="9">
        <v>0.11547005383792516</v>
      </c>
      <c r="I73" s="1">
        <v>0.11547005383792516</v>
      </c>
      <c r="K73" s="8"/>
    </row>
    <row r="74" spans="1:11" x14ac:dyDescent="0.3">
      <c r="A74" s="7">
        <v>390</v>
      </c>
      <c r="B74" s="8">
        <v>828</v>
      </c>
      <c r="D74" s="8">
        <v>828</v>
      </c>
      <c r="E74" s="9">
        <v>0.11547005383792516</v>
      </c>
      <c r="F74" s="1">
        <v>371.5</v>
      </c>
      <c r="G74" s="8">
        <v>436</v>
      </c>
      <c r="H74" s="9">
        <v>0.11547005383792516</v>
      </c>
      <c r="I74" s="1">
        <v>0.11547005383792516</v>
      </c>
      <c r="K74" s="8"/>
    </row>
    <row r="75" spans="1:11" x14ac:dyDescent="0.3">
      <c r="A75" s="7">
        <v>395</v>
      </c>
      <c r="B75" s="8">
        <v>825</v>
      </c>
      <c r="D75" s="8">
        <v>825</v>
      </c>
      <c r="E75" s="9">
        <v>0.11547005383792516</v>
      </c>
      <c r="F75" s="1">
        <v>376.5</v>
      </c>
      <c r="G75" s="8">
        <v>428</v>
      </c>
      <c r="H75" s="9">
        <v>0.11547005383792516</v>
      </c>
      <c r="I75" s="1">
        <v>0.11547005383792516</v>
      </c>
      <c r="K75" s="8"/>
    </row>
    <row r="76" spans="1:11" x14ac:dyDescent="0.3">
      <c r="A76" s="7">
        <v>400</v>
      </c>
      <c r="B76" s="8">
        <v>822</v>
      </c>
      <c r="D76" s="8">
        <v>822</v>
      </c>
      <c r="E76" s="9">
        <v>0.11547005383792516</v>
      </c>
      <c r="F76" s="1">
        <v>381.5</v>
      </c>
      <c r="G76" s="8">
        <v>420</v>
      </c>
      <c r="H76" s="9">
        <v>0.11547005383792516</v>
      </c>
      <c r="I76" s="1">
        <v>0.11547005383792516</v>
      </c>
      <c r="K76" s="8"/>
    </row>
    <row r="77" spans="1:11" x14ac:dyDescent="0.3">
      <c r="A77" s="7">
        <v>405</v>
      </c>
      <c r="B77" s="8">
        <v>820</v>
      </c>
      <c r="D77" s="8">
        <v>820</v>
      </c>
      <c r="E77" s="9">
        <v>0.11547005383792516</v>
      </c>
      <c r="F77" s="1">
        <v>386.5</v>
      </c>
      <c r="G77" s="8">
        <v>413</v>
      </c>
      <c r="H77" s="9">
        <v>0.11547005383792516</v>
      </c>
      <c r="I77" s="1">
        <v>0.11547005383792516</v>
      </c>
      <c r="K77" s="8"/>
    </row>
    <row r="78" spans="1:11" x14ac:dyDescent="0.3">
      <c r="A78" s="7">
        <v>410</v>
      </c>
      <c r="B78" s="8">
        <v>816</v>
      </c>
      <c r="D78" s="8">
        <v>816</v>
      </c>
      <c r="E78" s="9">
        <v>0.11547005383792516</v>
      </c>
      <c r="F78" s="1">
        <v>391.5</v>
      </c>
      <c r="G78" s="8">
        <v>404</v>
      </c>
      <c r="H78" s="9">
        <v>0.11547005383792516</v>
      </c>
      <c r="I78" s="1">
        <v>0.11547005383792516</v>
      </c>
      <c r="K78" s="8"/>
    </row>
    <row r="79" spans="1:11" x14ac:dyDescent="0.3">
      <c r="A79" s="7">
        <v>415</v>
      </c>
      <c r="B79" s="8">
        <v>814</v>
      </c>
      <c r="D79" s="8">
        <v>814</v>
      </c>
      <c r="E79" s="9">
        <v>0.11547005383792516</v>
      </c>
      <c r="F79" s="1">
        <v>396.5</v>
      </c>
      <c r="G79" s="1">
        <v>396</v>
      </c>
      <c r="H79" s="9">
        <v>0.11547005383792516</v>
      </c>
      <c r="I79" s="1">
        <v>0.11547005383792516</v>
      </c>
    </row>
    <row r="80" spans="1:11" x14ac:dyDescent="0.3">
      <c r="A80" s="7">
        <v>420</v>
      </c>
      <c r="B80" s="8">
        <v>822</v>
      </c>
      <c r="D80" s="8">
        <v>822</v>
      </c>
      <c r="E80" s="9">
        <v>0.11547005383792516</v>
      </c>
      <c r="F80" s="1">
        <v>401.5</v>
      </c>
      <c r="G80" s="1">
        <v>393</v>
      </c>
      <c r="H80" s="9">
        <v>0.11547005383792516</v>
      </c>
      <c r="I80" s="1">
        <v>0.11547005383792516</v>
      </c>
    </row>
    <row r="81" spans="1:9" x14ac:dyDescent="0.3">
      <c r="A81" s="7">
        <v>425</v>
      </c>
      <c r="B81" s="8">
        <v>825</v>
      </c>
      <c r="D81" s="8">
        <v>825</v>
      </c>
      <c r="E81" s="9">
        <v>0.11547005383792516</v>
      </c>
      <c r="F81" s="1">
        <v>406.5</v>
      </c>
      <c r="G81" s="1">
        <v>391</v>
      </c>
      <c r="H81" s="9">
        <v>0.11547005383792516</v>
      </c>
      <c r="I81" s="1">
        <v>0.11547005383792516</v>
      </c>
    </row>
    <row r="82" spans="1:9" x14ac:dyDescent="0.3">
      <c r="A82" s="7">
        <v>430</v>
      </c>
      <c r="B82" s="8">
        <v>827</v>
      </c>
      <c r="D82" s="8">
        <v>827</v>
      </c>
      <c r="E82" s="9">
        <v>0.11547005383792516</v>
      </c>
      <c r="F82" s="1">
        <v>411.5</v>
      </c>
      <c r="G82" s="1">
        <v>388</v>
      </c>
      <c r="H82" s="9">
        <v>0.11547005383792516</v>
      </c>
      <c r="I82" s="1">
        <v>0.11547005383792516</v>
      </c>
    </row>
    <row r="83" spans="1:9" x14ac:dyDescent="0.3">
      <c r="A83" s="7">
        <v>435</v>
      </c>
      <c r="B83" s="8">
        <v>827</v>
      </c>
      <c r="D83" s="8">
        <v>827</v>
      </c>
      <c r="E83" s="9">
        <v>0.11547005383792516</v>
      </c>
      <c r="F83" s="1">
        <v>416.5</v>
      </c>
      <c r="G83" s="1">
        <v>383</v>
      </c>
      <c r="H83" s="9">
        <v>0.11547005383792516</v>
      </c>
      <c r="I83" s="1">
        <v>0.11547005383792516</v>
      </c>
    </row>
    <row r="84" spans="1:9" x14ac:dyDescent="0.3">
      <c r="A84" s="7">
        <v>440</v>
      </c>
      <c r="B84" s="8">
        <v>829</v>
      </c>
      <c r="D84" s="8">
        <v>829</v>
      </c>
      <c r="E84" s="9">
        <v>0.11547005383792516</v>
      </c>
      <c r="F84" s="1">
        <v>421.5</v>
      </c>
      <c r="G84" s="1">
        <v>380</v>
      </c>
      <c r="H84" s="9">
        <v>0.11547005383792516</v>
      </c>
      <c r="I84" s="1">
        <v>0.11547005383792516</v>
      </c>
    </row>
    <row r="85" spans="1:9" x14ac:dyDescent="0.3">
      <c r="A85" s="7">
        <v>445</v>
      </c>
      <c r="B85" s="8">
        <v>830</v>
      </c>
      <c r="D85" s="8">
        <v>830</v>
      </c>
      <c r="E85" s="9">
        <v>0.11547005383792516</v>
      </c>
      <c r="F85" s="1">
        <v>426.5</v>
      </c>
      <c r="G85" s="1">
        <v>376</v>
      </c>
      <c r="H85" s="9">
        <v>0.11547005383792516</v>
      </c>
      <c r="I85" s="1">
        <v>0.11547005383792516</v>
      </c>
    </row>
    <row r="86" spans="1:9" x14ac:dyDescent="0.3">
      <c r="A86" s="7">
        <v>450</v>
      </c>
      <c r="B86" s="8">
        <v>831</v>
      </c>
      <c r="D86" s="8">
        <v>831</v>
      </c>
      <c r="E86" s="9">
        <v>0.11547005383792516</v>
      </c>
      <c r="F86" s="1">
        <v>431.5</v>
      </c>
      <c r="G86" s="1">
        <v>372</v>
      </c>
      <c r="H86" s="9">
        <v>0.11547005383792516</v>
      </c>
      <c r="I86" s="1">
        <v>0.11547005383792516</v>
      </c>
    </row>
    <row r="87" spans="1:9" x14ac:dyDescent="0.3">
      <c r="A87" s="7">
        <v>460</v>
      </c>
      <c r="B87" s="8">
        <v>832</v>
      </c>
      <c r="D87" s="8">
        <v>832</v>
      </c>
      <c r="E87" s="9">
        <v>0.11547005383792516</v>
      </c>
      <c r="F87" s="1">
        <v>441.5</v>
      </c>
      <c r="G87" s="1">
        <v>363</v>
      </c>
      <c r="H87" s="9">
        <v>0.11547005383792516</v>
      </c>
      <c r="I87" s="1">
        <v>0.11547005383792516</v>
      </c>
    </row>
    <row r="88" spans="1:9" x14ac:dyDescent="0.3">
      <c r="A88" s="7">
        <v>470</v>
      </c>
      <c r="B88" s="8">
        <v>837</v>
      </c>
      <c r="D88" s="8">
        <v>837</v>
      </c>
      <c r="E88" s="9">
        <v>0.11547005383792516</v>
      </c>
      <c r="F88" s="1">
        <v>451.5</v>
      </c>
      <c r="G88" s="1">
        <v>358</v>
      </c>
      <c r="H88" s="9">
        <v>0.11547005383792516</v>
      </c>
      <c r="I88" s="1">
        <v>0.11547005383792516</v>
      </c>
    </row>
    <row r="89" spans="1:9" x14ac:dyDescent="0.3">
      <c r="A89" s="7">
        <v>480</v>
      </c>
      <c r="B89" s="8">
        <v>840</v>
      </c>
      <c r="D89" s="8">
        <v>840</v>
      </c>
      <c r="E89" s="9">
        <v>0.11547005383792516</v>
      </c>
      <c r="F89" s="1">
        <v>461.5</v>
      </c>
      <c r="G89" s="1">
        <v>351</v>
      </c>
      <c r="H89" s="9">
        <v>0.11547005383792516</v>
      </c>
      <c r="I89" s="1">
        <v>0.11547005383792516</v>
      </c>
    </row>
    <row r="90" spans="1:9" x14ac:dyDescent="0.3">
      <c r="A90" s="7">
        <v>490</v>
      </c>
      <c r="B90" s="8">
        <v>835</v>
      </c>
      <c r="D90" s="8">
        <v>835</v>
      </c>
      <c r="E90" s="9">
        <v>0.11547005383792516</v>
      </c>
      <c r="F90" s="1">
        <v>471.5</v>
      </c>
      <c r="G90" s="1">
        <v>336</v>
      </c>
      <c r="H90" s="9">
        <v>0.11547005383792516</v>
      </c>
      <c r="I90" s="1">
        <v>0.11547005383792516</v>
      </c>
    </row>
    <row r="91" spans="1:9" x14ac:dyDescent="0.3">
      <c r="A91" s="7">
        <v>500</v>
      </c>
      <c r="B91" s="8">
        <v>850</v>
      </c>
      <c r="D91" s="8">
        <v>850</v>
      </c>
      <c r="E91" s="9">
        <v>0.11547005383792516</v>
      </c>
      <c r="F91" s="1">
        <v>481.5</v>
      </c>
      <c r="G91" s="1">
        <v>341</v>
      </c>
      <c r="H91" s="9">
        <v>0.11547005383792516</v>
      </c>
      <c r="I91" s="1">
        <v>0.11547005383792516</v>
      </c>
    </row>
    <row r="92" spans="1:9" x14ac:dyDescent="0.3">
      <c r="A92" s="7">
        <v>510</v>
      </c>
      <c r="B92" s="8">
        <v>855</v>
      </c>
      <c r="D92" s="8">
        <v>855</v>
      </c>
      <c r="E92" s="9">
        <v>0.11547005383792516</v>
      </c>
      <c r="F92" s="1">
        <v>491.5</v>
      </c>
      <c r="G92" s="1">
        <v>336</v>
      </c>
      <c r="H92" s="9">
        <v>0.11547005383792516</v>
      </c>
      <c r="I92" s="1">
        <v>0.11547005383792516</v>
      </c>
    </row>
    <row r="93" spans="1:9" x14ac:dyDescent="0.3">
      <c r="A93" s="7">
        <v>520</v>
      </c>
      <c r="B93" s="8">
        <v>860</v>
      </c>
      <c r="D93" s="8">
        <v>860</v>
      </c>
      <c r="E93" s="9">
        <v>0.11547005383792516</v>
      </c>
      <c r="F93" s="1">
        <v>501.5</v>
      </c>
      <c r="G93" s="1">
        <v>331</v>
      </c>
      <c r="H93" s="9">
        <v>0.11547005383792516</v>
      </c>
      <c r="I93" s="1">
        <v>0.11547005383792516</v>
      </c>
    </row>
    <row r="94" spans="1:9" x14ac:dyDescent="0.3">
      <c r="A94" s="7">
        <v>530</v>
      </c>
      <c r="B94" s="8">
        <v>865</v>
      </c>
      <c r="D94" s="8">
        <v>865</v>
      </c>
      <c r="E94" s="9">
        <v>0.11547005383792516</v>
      </c>
      <c r="F94" s="1">
        <v>511.5</v>
      </c>
      <c r="G94" s="1">
        <v>326</v>
      </c>
      <c r="H94" s="9">
        <v>0.11547005383792516</v>
      </c>
      <c r="I94" s="1">
        <v>0.11547005383792516</v>
      </c>
    </row>
    <row r="95" spans="1:9" x14ac:dyDescent="0.3">
      <c r="A95" s="7">
        <v>540</v>
      </c>
      <c r="B95" s="8">
        <v>870</v>
      </c>
      <c r="D95" s="8">
        <v>870</v>
      </c>
      <c r="E95" s="9">
        <v>0.11547005383792516</v>
      </c>
      <c r="F95" s="1">
        <v>521.5</v>
      </c>
      <c r="G95" s="1">
        <v>321</v>
      </c>
      <c r="H95" s="9">
        <v>0.11547005383792516</v>
      </c>
      <c r="I95" s="1">
        <v>0.11547005383792516</v>
      </c>
    </row>
    <row r="96" spans="1:9" x14ac:dyDescent="0.3">
      <c r="A96" s="7">
        <v>550</v>
      </c>
      <c r="B96" s="8">
        <v>875</v>
      </c>
      <c r="D96" s="8">
        <v>875</v>
      </c>
      <c r="E96" s="9">
        <v>0.11547005383792516</v>
      </c>
      <c r="F96" s="1">
        <v>531.5</v>
      </c>
      <c r="G96" s="1">
        <v>316</v>
      </c>
      <c r="H96" s="9">
        <v>0.11547005383792516</v>
      </c>
      <c r="I96" s="1">
        <v>0.11547005383792516</v>
      </c>
    </row>
    <row r="97" spans="1:9" x14ac:dyDescent="0.3">
      <c r="A97" s="7">
        <v>560</v>
      </c>
      <c r="B97" s="8">
        <v>885</v>
      </c>
      <c r="D97" s="8">
        <v>885</v>
      </c>
      <c r="E97" s="9">
        <v>0.11547005383792516</v>
      </c>
      <c r="F97" s="1">
        <v>541.5</v>
      </c>
      <c r="G97" s="1">
        <v>316</v>
      </c>
      <c r="H97" s="9">
        <v>0.11547005383792516</v>
      </c>
      <c r="I97" s="1">
        <v>0.11547005383792516</v>
      </c>
    </row>
    <row r="98" spans="1:9" x14ac:dyDescent="0.3">
      <c r="A98" s="7">
        <v>570</v>
      </c>
      <c r="B98" s="8">
        <v>890</v>
      </c>
      <c r="D98" s="8">
        <v>890</v>
      </c>
      <c r="E98" s="9">
        <v>0.11547005383792516</v>
      </c>
      <c r="F98" s="1">
        <v>551.5</v>
      </c>
      <c r="G98" s="1">
        <v>311</v>
      </c>
      <c r="H98" s="9">
        <v>0.11547005383792516</v>
      </c>
      <c r="I98" s="1">
        <v>0.11547005383792516</v>
      </c>
    </row>
    <row r="99" spans="1:9" x14ac:dyDescent="0.3">
      <c r="A99" s="7">
        <v>580</v>
      </c>
      <c r="B99" s="8">
        <v>897</v>
      </c>
      <c r="D99" s="8">
        <v>897</v>
      </c>
      <c r="E99" s="9">
        <v>0.11547005383792516</v>
      </c>
      <c r="F99" s="1">
        <v>561.5</v>
      </c>
      <c r="G99" s="1">
        <v>308</v>
      </c>
      <c r="H99" s="9">
        <v>0.11547005383792516</v>
      </c>
      <c r="I99" s="1">
        <v>0.11547005383792516</v>
      </c>
    </row>
    <row r="100" spans="1:9" x14ac:dyDescent="0.3">
      <c r="A100" s="7">
        <v>590</v>
      </c>
      <c r="B100" s="8">
        <v>905</v>
      </c>
      <c r="D100" s="8">
        <v>905</v>
      </c>
      <c r="E100" s="9">
        <v>0.11547005383792516</v>
      </c>
      <c r="F100" s="1">
        <v>571.5</v>
      </c>
      <c r="G100" s="1">
        <v>306</v>
      </c>
      <c r="H100" s="9">
        <v>0.11547005383792516</v>
      </c>
      <c r="I100" s="1">
        <v>0.11547005383792516</v>
      </c>
    </row>
    <row r="101" spans="1:9" x14ac:dyDescent="0.3">
      <c r="A101" s="7">
        <v>600</v>
      </c>
      <c r="B101" s="8">
        <v>910</v>
      </c>
      <c r="D101" s="8">
        <v>910</v>
      </c>
      <c r="E101" s="9">
        <v>0.11547005383792516</v>
      </c>
      <c r="F101" s="1">
        <v>581.5</v>
      </c>
      <c r="G101" s="1">
        <v>301</v>
      </c>
      <c r="H101" s="9">
        <v>0.11547005383792516</v>
      </c>
      <c r="I101" s="1">
        <v>0.11547005383792516</v>
      </c>
    </row>
    <row r="102" spans="1:9" x14ac:dyDescent="0.3">
      <c r="A102" s="7">
        <v>620</v>
      </c>
      <c r="B102" s="8">
        <v>925</v>
      </c>
      <c r="D102" s="8">
        <v>925</v>
      </c>
      <c r="E102" s="9">
        <v>0.11547005383792516</v>
      </c>
      <c r="F102" s="1">
        <v>601.5</v>
      </c>
      <c r="G102" s="1">
        <v>296</v>
      </c>
      <c r="H102" s="9">
        <v>0.11547005383792516</v>
      </c>
      <c r="I102" s="1">
        <v>0.11547005383792516</v>
      </c>
    </row>
    <row r="103" spans="1:9" x14ac:dyDescent="0.3">
      <c r="A103" s="7">
        <v>640</v>
      </c>
      <c r="B103" s="8">
        <v>939</v>
      </c>
      <c r="D103" s="8">
        <v>939</v>
      </c>
      <c r="E103" s="9">
        <v>0.11547005383792516</v>
      </c>
      <c r="F103" s="1">
        <v>621.5</v>
      </c>
      <c r="G103" s="1">
        <v>290</v>
      </c>
      <c r="H103" s="9">
        <v>0.11547005383792516</v>
      </c>
      <c r="I103" s="1">
        <v>0.11547005383792516</v>
      </c>
    </row>
    <row r="104" spans="1:9" x14ac:dyDescent="0.3">
      <c r="A104" s="7">
        <v>660</v>
      </c>
      <c r="B104" s="8">
        <v>958</v>
      </c>
      <c r="D104" s="8">
        <v>958</v>
      </c>
      <c r="E104" s="9">
        <v>0.11547005383792516</v>
      </c>
      <c r="F104" s="1">
        <v>641.5</v>
      </c>
      <c r="G104" s="1">
        <v>289</v>
      </c>
      <c r="H104" s="9">
        <v>0.11547005383792516</v>
      </c>
      <c r="I104" s="1">
        <v>0.11547005383792516</v>
      </c>
    </row>
    <row r="105" spans="1:9" x14ac:dyDescent="0.3">
      <c r="A105" s="7">
        <v>680</v>
      </c>
      <c r="B105" s="8">
        <v>972</v>
      </c>
      <c r="D105" s="8">
        <v>972</v>
      </c>
      <c r="E105" s="9">
        <v>0.11547005383792516</v>
      </c>
      <c r="F105" s="1">
        <v>661.5</v>
      </c>
      <c r="G105" s="1">
        <v>283</v>
      </c>
      <c r="H105" s="9">
        <v>0.11547005383792516</v>
      </c>
      <c r="I105" s="1">
        <v>0.11547005383792516</v>
      </c>
    </row>
    <row r="106" spans="1:9" x14ac:dyDescent="0.3">
      <c r="A106" s="7">
        <v>700</v>
      </c>
      <c r="B106" s="8">
        <v>990</v>
      </c>
      <c r="D106" s="8">
        <v>990</v>
      </c>
      <c r="E106" s="9">
        <v>0.11547005383792516</v>
      </c>
      <c r="F106" s="1">
        <v>681.5</v>
      </c>
      <c r="G106" s="1">
        <v>281</v>
      </c>
      <c r="H106" s="9">
        <v>0.11547005383792516</v>
      </c>
      <c r="I106" s="1">
        <v>0.11547005383792516</v>
      </c>
    </row>
    <row r="107" spans="1:9" x14ac:dyDescent="0.3">
      <c r="A107" s="7">
        <v>750</v>
      </c>
      <c r="B107" s="8">
        <v>1030</v>
      </c>
      <c r="D107" s="8">
        <v>1030</v>
      </c>
      <c r="E107" s="9">
        <v>0.11547005383792516</v>
      </c>
      <c r="F107" s="1">
        <v>731.5</v>
      </c>
      <c r="G107" s="1">
        <v>271</v>
      </c>
      <c r="H107" s="9">
        <v>0.11547005383792516</v>
      </c>
      <c r="I107" s="1">
        <v>0.11547005383792516</v>
      </c>
    </row>
    <row r="108" spans="1:9" x14ac:dyDescent="0.3">
      <c r="A108" s="7">
        <v>800</v>
      </c>
      <c r="B108" s="8">
        <v>1073</v>
      </c>
      <c r="D108" s="8">
        <v>1073</v>
      </c>
      <c r="E108" s="9">
        <v>0.11547005383792516</v>
      </c>
      <c r="F108" s="1">
        <v>781.5</v>
      </c>
      <c r="G108" s="1">
        <v>264</v>
      </c>
      <c r="H108" s="9">
        <v>0.11547005383792516</v>
      </c>
      <c r="I108" s="1">
        <v>0.11547005383792516</v>
      </c>
    </row>
    <row r="109" spans="1:9" x14ac:dyDescent="0.3">
      <c r="A109" s="7">
        <v>850</v>
      </c>
      <c r="B109" s="8">
        <v>1118</v>
      </c>
      <c r="D109" s="8">
        <v>1118</v>
      </c>
      <c r="E109" s="9">
        <v>0.11547005383792516</v>
      </c>
      <c r="F109" s="1">
        <v>831.5</v>
      </c>
      <c r="G109" s="1">
        <v>259</v>
      </c>
      <c r="H109" s="9">
        <v>0.11547005383792516</v>
      </c>
      <c r="I109" s="1">
        <v>0.11547005383792516</v>
      </c>
    </row>
    <row r="110" spans="1:9" x14ac:dyDescent="0.3">
      <c r="A110" s="7">
        <v>900</v>
      </c>
      <c r="B110" s="8">
        <v>1164</v>
      </c>
      <c r="D110" s="8">
        <v>1164</v>
      </c>
      <c r="E110" s="9">
        <v>0.11547005383792516</v>
      </c>
      <c r="F110" s="1">
        <v>881.5</v>
      </c>
      <c r="G110" s="1">
        <v>255</v>
      </c>
      <c r="H110" s="9">
        <v>0.11547005383792516</v>
      </c>
      <c r="I110" s="1">
        <v>0.11547005383792516</v>
      </c>
    </row>
    <row r="111" spans="1:9" x14ac:dyDescent="0.3">
      <c r="A111" s="7">
        <v>1000</v>
      </c>
      <c r="B111" s="8">
        <v>1255</v>
      </c>
      <c r="D111" s="8">
        <v>1255</v>
      </c>
      <c r="E111" s="9">
        <v>0.11547005383792516</v>
      </c>
      <c r="F111" s="1">
        <v>981.5</v>
      </c>
      <c r="G111" s="1">
        <v>246</v>
      </c>
      <c r="H111" s="9">
        <v>0.11547005383792516</v>
      </c>
      <c r="I111" s="1">
        <v>0.11547005383792516</v>
      </c>
    </row>
    <row r="112" spans="1:9" x14ac:dyDescent="0.3">
      <c r="A112" s="7">
        <v>1100</v>
      </c>
      <c r="B112" s="8">
        <v>1349</v>
      </c>
      <c r="D112" s="8">
        <v>1349</v>
      </c>
      <c r="E112" s="9">
        <v>0.11547005383792516</v>
      </c>
      <c r="F112" s="1">
        <v>1081.5</v>
      </c>
      <c r="G112" s="1">
        <v>240</v>
      </c>
      <c r="H112" s="9">
        <v>0.11547005383792516</v>
      </c>
      <c r="I112" s="1">
        <v>0.11547005383792516</v>
      </c>
    </row>
    <row r="113" spans="1:9" x14ac:dyDescent="0.3">
      <c r="A113" s="7">
        <v>1200</v>
      </c>
      <c r="B113" s="8">
        <v>1445</v>
      </c>
      <c r="D113" s="8">
        <v>1445</v>
      </c>
      <c r="E113" s="9">
        <v>0.11547005383792516</v>
      </c>
      <c r="F113" s="1">
        <v>1181.5</v>
      </c>
      <c r="G113" s="1">
        <v>236</v>
      </c>
      <c r="H113" s="9">
        <v>0.11547005383792516</v>
      </c>
      <c r="I113" s="1">
        <v>0.11547005383792516</v>
      </c>
    </row>
    <row r="114" spans="1:9" x14ac:dyDescent="0.3">
      <c r="A114" s="7">
        <v>1300</v>
      </c>
      <c r="B114" s="8">
        <v>1542</v>
      </c>
      <c r="D114" s="8">
        <v>1542</v>
      </c>
      <c r="E114" s="9">
        <v>0.11547005383792516</v>
      </c>
      <c r="F114" s="1">
        <v>1281.5</v>
      </c>
      <c r="G114" s="1">
        <v>233</v>
      </c>
      <c r="H114" s="9">
        <v>0.11547005383792516</v>
      </c>
      <c r="I114" s="1">
        <v>0.11547005383792516</v>
      </c>
    </row>
    <row r="115" spans="1:9" x14ac:dyDescent="0.3">
      <c r="A115" s="7">
        <v>1400</v>
      </c>
      <c r="B115" s="8">
        <v>1638</v>
      </c>
      <c r="D115" s="8">
        <v>1638</v>
      </c>
      <c r="E115" s="9">
        <v>0.11547005383792516</v>
      </c>
      <c r="F115" s="1">
        <v>1381.5</v>
      </c>
      <c r="G115" s="1">
        <v>229</v>
      </c>
      <c r="H115" s="9">
        <v>0.11547005383792516</v>
      </c>
      <c r="I115" s="1">
        <v>0.11547005383792516</v>
      </c>
    </row>
    <row r="116" spans="1:9" x14ac:dyDescent="0.3">
      <c r="A116" s="7">
        <v>1500</v>
      </c>
      <c r="B116" s="8">
        <v>1736</v>
      </c>
      <c r="D116" s="8">
        <v>1736</v>
      </c>
      <c r="E116" s="9">
        <v>0.11547005383792516</v>
      </c>
      <c r="F116" s="1">
        <v>1481.5</v>
      </c>
      <c r="G116" s="1">
        <v>227</v>
      </c>
      <c r="H116" s="9">
        <v>0.11547005383792516</v>
      </c>
      <c r="I116" s="1">
        <v>0.11547005383792516</v>
      </c>
    </row>
    <row r="117" spans="1:9" x14ac:dyDescent="0.3">
      <c r="A117" s="7">
        <v>1650</v>
      </c>
      <c r="B117" s="8">
        <v>1882</v>
      </c>
      <c r="D117" s="8">
        <v>1882</v>
      </c>
      <c r="E117" s="9">
        <v>0.11547005383792516</v>
      </c>
      <c r="F117" s="1">
        <v>1631.5</v>
      </c>
      <c r="G117" s="1">
        <v>223</v>
      </c>
      <c r="H117" s="9">
        <v>0.11547005383792516</v>
      </c>
      <c r="I117" s="1">
        <v>0.11547005383792516</v>
      </c>
    </row>
    <row r="118" spans="1:9" x14ac:dyDescent="0.3">
      <c r="A118" s="7"/>
    </row>
    <row r="119" spans="1:9" x14ac:dyDescent="0.3">
      <c r="A119" s="7"/>
    </row>
    <row r="120" spans="1:9" x14ac:dyDescent="0.3">
      <c r="A120" s="7"/>
    </row>
    <row r="121" spans="1:9" x14ac:dyDescent="0.3">
      <c r="A121" s="7"/>
    </row>
    <row r="122" spans="1:9" x14ac:dyDescent="0.3">
      <c r="A122" s="7"/>
    </row>
    <row r="123" spans="1:9" x14ac:dyDescent="0.3">
      <c r="A123" s="7"/>
    </row>
    <row r="124" spans="1:9" x14ac:dyDescent="0.3">
      <c r="A124" s="7"/>
    </row>
    <row r="125" spans="1:9" x14ac:dyDescent="0.3">
      <c r="A12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D91E-BD57-4745-B824-0D582BC990AC}">
  <dimension ref="A1:D117"/>
  <sheetViews>
    <sheetView workbookViewId="0">
      <selection activeCell="G123" sqref="G123"/>
    </sheetView>
  </sheetViews>
  <sheetFormatPr defaultRowHeight="14.4" x14ac:dyDescent="0.3"/>
  <cols>
    <col min="1" max="1" width="12.44140625" style="1" customWidth="1"/>
    <col min="2" max="2" width="12.44140625" style="8" customWidth="1"/>
    <col min="3" max="4" width="12.44140625" style="1" customWidth="1"/>
  </cols>
  <sheetData>
    <row r="1" spans="1:4" x14ac:dyDescent="0.3">
      <c r="A1" s="1" t="s">
        <v>19</v>
      </c>
      <c r="B1" s="8" t="s">
        <v>20</v>
      </c>
      <c r="C1" s="1" t="s">
        <v>21</v>
      </c>
      <c r="D1" s="1" t="s">
        <v>22</v>
      </c>
    </row>
    <row r="2" spans="1:4" x14ac:dyDescent="0.3">
      <c r="A2" s="1">
        <v>232.5</v>
      </c>
      <c r="B2" s="8">
        <v>1568.3956187495346</v>
      </c>
      <c r="C2" s="1">
        <v>0.11547005383792516</v>
      </c>
      <c r="D2" s="1">
        <v>11.258330249197703</v>
      </c>
    </row>
    <row r="3" spans="1:4" x14ac:dyDescent="0.3">
      <c r="A3" s="1">
        <v>233.5</v>
      </c>
      <c r="B3" s="8">
        <v>1522.5370809527169</v>
      </c>
      <c r="C3" s="1">
        <v>0.11547005383792516</v>
      </c>
      <c r="D3" s="1">
        <v>33.774990747593108</v>
      </c>
    </row>
    <row r="4" spans="1:4" x14ac:dyDescent="0.3">
      <c r="A4" s="1">
        <v>234.5</v>
      </c>
      <c r="B4" s="8">
        <v>1514.6242539025059</v>
      </c>
      <c r="C4" s="1">
        <v>0.11547005383792516</v>
      </c>
      <c r="D4" s="1">
        <v>47.0540469389545</v>
      </c>
    </row>
    <row r="5" spans="1:4" x14ac:dyDescent="0.3">
      <c r="A5" s="1">
        <v>235.5</v>
      </c>
      <c r="B5" s="8">
        <v>1448.3063104970304</v>
      </c>
      <c r="C5" s="1">
        <v>0.11547005383792516</v>
      </c>
      <c r="D5" s="1">
        <v>43.878620458411561</v>
      </c>
    </row>
    <row r="6" spans="1:4" x14ac:dyDescent="0.3">
      <c r="A6" s="1">
        <v>236.5</v>
      </c>
      <c r="B6" s="8">
        <v>1416.5366742321485</v>
      </c>
      <c r="C6" s="1">
        <v>0.11547005383792516</v>
      </c>
      <c r="D6" s="1">
        <v>40.414518843273804</v>
      </c>
    </row>
    <row r="7" spans="1:4" x14ac:dyDescent="0.3">
      <c r="A7" s="1">
        <v>237.5</v>
      </c>
      <c r="B7" s="8">
        <v>1382.5913567979078</v>
      </c>
      <c r="C7" s="1">
        <v>0.11547005383792516</v>
      </c>
      <c r="D7" s="1">
        <v>39.259818304894551</v>
      </c>
    </row>
    <row r="8" spans="1:4" x14ac:dyDescent="0.3">
      <c r="A8" s="1">
        <v>238.5</v>
      </c>
      <c r="B8" s="8">
        <v>1352.1281761548335</v>
      </c>
      <c r="C8" s="1">
        <v>0.11547005383792516</v>
      </c>
      <c r="D8" s="1">
        <v>38.393792901110118</v>
      </c>
    </row>
    <row r="9" spans="1:4" x14ac:dyDescent="0.3">
      <c r="A9" s="1">
        <v>239.5</v>
      </c>
      <c r="B9" s="8">
        <v>1316.1424428014113</v>
      </c>
      <c r="C9" s="1">
        <v>0.11547005383792516</v>
      </c>
      <c r="D9" s="1">
        <v>30.02221399786054</v>
      </c>
    </row>
    <row r="10" spans="1:4" x14ac:dyDescent="0.3">
      <c r="A10" s="1">
        <v>240.5</v>
      </c>
      <c r="B10" s="8">
        <v>1292.227285364251</v>
      </c>
      <c r="C10" s="1">
        <v>0.11547005383792516</v>
      </c>
      <c r="D10" s="1">
        <v>28.290163190291665</v>
      </c>
    </row>
    <row r="11" spans="1:4" x14ac:dyDescent="0.3">
      <c r="A11" s="1">
        <v>241.5</v>
      </c>
      <c r="B11" s="8">
        <v>1256.5927696390497</v>
      </c>
      <c r="C11" s="1">
        <v>0.11547005383792516</v>
      </c>
      <c r="D11" s="1">
        <v>30.310889132455355</v>
      </c>
    </row>
    <row r="12" spans="1:4" x14ac:dyDescent="0.3">
      <c r="A12" s="1">
        <v>242.5</v>
      </c>
      <c r="B12" s="8">
        <v>1229.4369333409034</v>
      </c>
      <c r="C12" s="1">
        <v>0.11547005383792516</v>
      </c>
      <c r="D12" s="1">
        <v>23.671361036774659</v>
      </c>
    </row>
    <row r="13" spans="1:4" x14ac:dyDescent="0.3">
      <c r="A13" s="1">
        <v>243.5</v>
      </c>
      <c r="B13" s="8">
        <v>1216.4864065569802</v>
      </c>
      <c r="C13" s="1">
        <v>0.11547005383792516</v>
      </c>
      <c r="D13" s="1">
        <v>22.516660498395407</v>
      </c>
    </row>
    <row r="14" spans="1:4" x14ac:dyDescent="0.3">
      <c r="A14" s="1">
        <v>244.5</v>
      </c>
      <c r="B14" s="8">
        <v>1177.9033231647918</v>
      </c>
      <c r="C14" s="1">
        <v>0.11547005383792516</v>
      </c>
      <c r="D14" s="1">
        <v>23.96003617136947</v>
      </c>
    </row>
    <row r="15" spans="1:4" x14ac:dyDescent="0.3">
      <c r="A15" s="1">
        <v>245.5</v>
      </c>
      <c r="B15" s="8">
        <v>1160.0582035807654</v>
      </c>
      <c r="C15" s="1">
        <v>0.11547005383792516</v>
      </c>
      <c r="D15" s="1">
        <v>20.495934556231717</v>
      </c>
    </row>
    <row r="16" spans="1:4" x14ac:dyDescent="0.3">
      <c r="A16" s="1">
        <v>246.5</v>
      </c>
      <c r="B16" s="8">
        <v>1133.0499991071747</v>
      </c>
      <c r="C16" s="1">
        <v>0.11547005383792516</v>
      </c>
      <c r="D16" s="1">
        <v>20.495934556231717</v>
      </c>
    </row>
    <row r="17" spans="1:4" x14ac:dyDescent="0.3">
      <c r="A17" s="1">
        <v>247.5</v>
      </c>
      <c r="B17" s="8">
        <v>1126.0222379861807</v>
      </c>
      <c r="C17" s="1">
        <v>0.11547005383792516</v>
      </c>
      <c r="D17" s="1">
        <v>21.073284825421343</v>
      </c>
    </row>
    <row r="18" spans="1:4" x14ac:dyDescent="0.3">
      <c r="A18" s="1">
        <v>248.5</v>
      </c>
      <c r="B18" s="8">
        <v>1106.6729262437348</v>
      </c>
      <c r="C18" s="1">
        <v>0.11547005383792516</v>
      </c>
      <c r="D18" s="1">
        <v>17.320508075688775</v>
      </c>
    </row>
    <row r="19" spans="1:4" x14ac:dyDescent="0.3">
      <c r="A19" s="1">
        <v>249.5</v>
      </c>
      <c r="B19" s="8">
        <v>1086.0862804408871</v>
      </c>
      <c r="C19" s="1">
        <v>0.11547005383792516</v>
      </c>
      <c r="D19" s="1">
        <v>19.341234017852464</v>
      </c>
    </row>
    <row r="20" spans="1:4" x14ac:dyDescent="0.3">
      <c r="A20" s="1">
        <v>250.5</v>
      </c>
      <c r="B20" s="8">
        <v>1064.1044902928011</v>
      </c>
      <c r="C20" s="1">
        <v>0.11547005383792516</v>
      </c>
      <c r="D20" s="1">
        <v>18.763883748662838</v>
      </c>
    </row>
    <row r="21" spans="1:4" x14ac:dyDescent="0.3">
      <c r="A21" s="1">
        <v>251.5</v>
      </c>
      <c r="B21" s="8">
        <v>1047.7439145531227</v>
      </c>
      <c r="C21" s="1">
        <v>0.11547005383792516</v>
      </c>
      <c r="D21" s="1">
        <v>15.01110699893027</v>
      </c>
    </row>
    <row r="22" spans="1:4" x14ac:dyDescent="0.3">
      <c r="A22" s="1">
        <v>252.5</v>
      </c>
      <c r="B22" s="8">
        <v>1026.778442658594</v>
      </c>
      <c r="C22" s="1">
        <v>0.11547005383792516</v>
      </c>
      <c r="D22" s="1">
        <v>13.856406460551019</v>
      </c>
    </row>
    <row r="23" spans="1:4" x14ac:dyDescent="0.3">
      <c r="A23" s="1">
        <v>253.5</v>
      </c>
      <c r="B23" s="8">
        <v>1014.7575412000506</v>
      </c>
      <c r="C23" s="1">
        <v>0.11547005383792516</v>
      </c>
      <c r="D23" s="1">
        <v>14.433756729740645</v>
      </c>
    </row>
    <row r="24" spans="1:4" x14ac:dyDescent="0.3">
      <c r="A24" s="1">
        <v>254.5</v>
      </c>
      <c r="B24" s="8">
        <v>997.11005813176394</v>
      </c>
      <c r="C24" s="1">
        <v>0.11547005383792516</v>
      </c>
      <c r="D24" s="1">
        <v>18.186533479473212</v>
      </c>
    </row>
    <row r="25" spans="1:4" x14ac:dyDescent="0.3">
      <c r="A25" s="1">
        <v>255.5</v>
      </c>
      <c r="B25" s="8">
        <v>986.22185054767601</v>
      </c>
      <c r="C25" s="1">
        <v>0.11547005383792516</v>
      </c>
      <c r="D25" s="1">
        <v>15.299782133525083</v>
      </c>
    </row>
    <row r="26" spans="1:4" x14ac:dyDescent="0.3">
      <c r="A26" s="1">
        <v>256.5</v>
      </c>
      <c r="B26" s="8">
        <v>967.27810396229347</v>
      </c>
      <c r="C26" s="1">
        <v>0.11547005383792516</v>
      </c>
      <c r="D26" s="1">
        <v>13.567731325956206</v>
      </c>
    </row>
    <row r="27" spans="1:4" x14ac:dyDescent="0.3">
      <c r="A27" s="1">
        <v>257.5</v>
      </c>
      <c r="B27" s="8">
        <v>951.76583136790714</v>
      </c>
      <c r="C27" s="1">
        <v>0.11547005383792516</v>
      </c>
      <c r="D27" s="1">
        <v>13.856406460551019</v>
      </c>
    </row>
    <row r="28" spans="1:4" x14ac:dyDescent="0.3">
      <c r="A28" s="1">
        <v>258.5</v>
      </c>
      <c r="B28" s="8">
        <v>935.85143124581282</v>
      </c>
      <c r="C28" s="1">
        <v>0.11547005383792516</v>
      </c>
      <c r="D28" s="1">
        <v>10.96965511460289</v>
      </c>
    </row>
    <row r="29" spans="1:4" x14ac:dyDescent="0.3">
      <c r="A29" s="1">
        <v>259.5</v>
      </c>
      <c r="B29" s="8">
        <v>921.30762088650704</v>
      </c>
      <c r="C29" s="1">
        <v>0.11547005383792516</v>
      </c>
      <c r="D29" s="1">
        <v>12.413030787576954</v>
      </c>
    </row>
    <row r="30" spans="1:4" x14ac:dyDescent="0.3">
      <c r="A30" s="1">
        <v>260.5</v>
      </c>
      <c r="B30" s="8">
        <v>913.35673062950491</v>
      </c>
      <c r="C30" s="1">
        <v>0.11547005383792516</v>
      </c>
      <c r="D30" s="1">
        <v>10.680979980008077</v>
      </c>
    </row>
    <row r="31" spans="1:4" x14ac:dyDescent="0.3">
      <c r="A31" s="1">
        <v>261.5</v>
      </c>
      <c r="B31" s="8">
        <v>902.32259118873526</v>
      </c>
      <c r="C31" s="1">
        <v>0.11547005383792516</v>
      </c>
      <c r="D31" s="1">
        <v>11.835680518387329</v>
      </c>
    </row>
    <row r="32" spans="1:4" x14ac:dyDescent="0.3">
      <c r="A32" s="1">
        <v>262.5</v>
      </c>
      <c r="B32" s="8">
        <v>887.86164853068794</v>
      </c>
      <c r="C32" s="1">
        <v>0.11547005383792516</v>
      </c>
      <c r="D32" s="1">
        <v>10.392304845413264</v>
      </c>
    </row>
    <row r="33" spans="1:4" x14ac:dyDescent="0.3">
      <c r="A33" s="1">
        <v>263.5</v>
      </c>
      <c r="B33" s="8">
        <v>881.38319878055563</v>
      </c>
      <c r="C33" s="1">
        <v>0.11547005383792516</v>
      </c>
      <c r="D33" s="1">
        <v>9.5262794416288248</v>
      </c>
    </row>
    <row r="34" spans="1:4" x14ac:dyDescent="0.3">
      <c r="A34" s="1">
        <v>264.5</v>
      </c>
      <c r="B34" s="8">
        <v>867.38188114877971</v>
      </c>
      <c r="C34" s="1">
        <v>0.11547005383792516</v>
      </c>
      <c r="D34" s="1">
        <v>9.5262794416288248</v>
      </c>
    </row>
    <row r="35" spans="1:4" x14ac:dyDescent="0.3">
      <c r="A35" s="1">
        <v>265.5</v>
      </c>
      <c r="B35" s="8">
        <v>856.31606834535955</v>
      </c>
      <c r="C35" s="1">
        <v>0.11547005383792516</v>
      </c>
      <c r="D35" s="1">
        <v>11.835680518387329</v>
      </c>
    </row>
    <row r="36" spans="1:4" x14ac:dyDescent="0.3">
      <c r="A36" s="1">
        <v>267.5</v>
      </c>
      <c r="B36" s="8">
        <v>835.91280800603022</v>
      </c>
      <c r="C36" s="1">
        <v>0.11547005383792516</v>
      </c>
      <c r="D36" s="1">
        <v>8.0829037686547611</v>
      </c>
    </row>
    <row r="37" spans="1:4" x14ac:dyDescent="0.3">
      <c r="A37" s="1">
        <v>269.5</v>
      </c>
      <c r="B37" s="8">
        <v>817.41771703364043</v>
      </c>
      <c r="C37" s="1">
        <v>0.11547005383792516</v>
      </c>
      <c r="D37" s="1">
        <v>7.794228634059948</v>
      </c>
    </row>
    <row r="38" spans="1:4" x14ac:dyDescent="0.3">
      <c r="A38" s="1">
        <v>271.5</v>
      </c>
      <c r="B38" s="8">
        <v>799.38993948084385</v>
      </c>
      <c r="C38" s="1">
        <v>0.11547005383792516</v>
      </c>
      <c r="D38" s="1">
        <v>8.9489291724392004</v>
      </c>
    </row>
    <row r="39" spans="1:4" x14ac:dyDescent="0.3">
      <c r="A39" s="1">
        <v>273.5</v>
      </c>
      <c r="B39" s="8">
        <v>783.90908707552876</v>
      </c>
      <c r="C39" s="1">
        <v>0.11547005383792516</v>
      </c>
      <c r="D39" s="1">
        <v>8.0829037686547611</v>
      </c>
    </row>
    <row r="40" spans="1:4" x14ac:dyDescent="0.3">
      <c r="A40" s="1">
        <v>275.5</v>
      </c>
      <c r="B40" s="8">
        <v>767.38704148583633</v>
      </c>
      <c r="C40" s="1">
        <v>0.11547005383792516</v>
      </c>
      <c r="D40" s="1">
        <v>8.9489291724392004</v>
      </c>
    </row>
    <row r="41" spans="1:4" x14ac:dyDescent="0.3">
      <c r="A41" s="1">
        <v>277.5</v>
      </c>
      <c r="B41" s="8">
        <v>754.43717152141676</v>
      </c>
      <c r="C41" s="1">
        <v>0.11547005383792516</v>
      </c>
      <c r="D41" s="1">
        <v>6.6395280956806966</v>
      </c>
    </row>
    <row r="42" spans="1:4" x14ac:dyDescent="0.3">
      <c r="A42" s="1">
        <v>280.5</v>
      </c>
      <c r="B42" s="8">
        <v>729.87584121464397</v>
      </c>
      <c r="C42" s="1">
        <v>0.11547005383792516</v>
      </c>
      <c r="D42" s="1">
        <v>9.2376043070340135</v>
      </c>
    </row>
    <row r="43" spans="1:4" x14ac:dyDescent="0.3">
      <c r="A43" s="1">
        <v>281.5</v>
      </c>
      <c r="B43" s="8">
        <v>725.36750970623939</v>
      </c>
      <c r="C43" s="1">
        <v>0.11547005383792516</v>
      </c>
      <c r="D43" s="1">
        <v>9.5262794416288248</v>
      </c>
    </row>
    <row r="44" spans="1:4" x14ac:dyDescent="0.3">
      <c r="A44" s="1">
        <v>282.5</v>
      </c>
      <c r="B44" s="8">
        <v>717.87462501523669</v>
      </c>
      <c r="C44" s="1">
        <v>0.11547005383792516</v>
      </c>
      <c r="D44" s="1">
        <v>9.2376043070340135</v>
      </c>
    </row>
    <row r="45" spans="1:4" x14ac:dyDescent="0.3">
      <c r="A45" s="1">
        <v>283.5</v>
      </c>
      <c r="B45" s="8">
        <v>706.45534290239664</v>
      </c>
      <c r="C45" s="1">
        <v>0.11547005383792516</v>
      </c>
      <c r="D45" s="1">
        <v>5.4848275573014451</v>
      </c>
    </row>
    <row r="46" spans="1:4" x14ac:dyDescent="0.3">
      <c r="A46" s="1">
        <v>284.5</v>
      </c>
      <c r="B46" s="8">
        <v>698.43410346668998</v>
      </c>
      <c r="C46" s="1">
        <v>0.11547005383792516</v>
      </c>
      <c r="D46" s="1">
        <v>6.6395280956806966</v>
      </c>
    </row>
    <row r="47" spans="1:4" x14ac:dyDescent="0.3">
      <c r="A47" s="1">
        <v>285.5</v>
      </c>
      <c r="B47" s="8">
        <v>697.43410346668998</v>
      </c>
      <c r="C47" s="1">
        <v>0.11547005383792516</v>
      </c>
      <c r="D47" s="1">
        <v>6.6395280956806966</v>
      </c>
    </row>
    <row r="48" spans="1:4" x14ac:dyDescent="0.3">
      <c r="A48" s="1">
        <v>286.5</v>
      </c>
      <c r="B48" s="8">
        <v>688.94979793160257</v>
      </c>
      <c r="C48" s="1">
        <v>0.11547005383792516</v>
      </c>
      <c r="D48" s="1">
        <v>5.7735026918962582</v>
      </c>
    </row>
    <row r="49" spans="1:4" x14ac:dyDescent="0.3">
      <c r="A49" s="1">
        <v>287.5</v>
      </c>
      <c r="B49" s="8">
        <v>684.47166206396048</v>
      </c>
      <c r="C49" s="1">
        <v>0.11547005383792516</v>
      </c>
      <c r="D49" s="1">
        <v>4.3301270189221936</v>
      </c>
    </row>
    <row r="50" spans="1:4" x14ac:dyDescent="0.3">
      <c r="A50" s="1">
        <v>288.5</v>
      </c>
      <c r="B50" s="8">
        <v>680.95909006382692</v>
      </c>
      <c r="C50" s="1">
        <v>0.11547005383792516</v>
      </c>
      <c r="D50" s="1">
        <v>5.196152422706632</v>
      </c>
    </row>
    <row r="51" spans="1:4" x14ac:dyDescent="0.3">
      <c r="A51" s="1">
        <v>289.5</v>
      </c>
      <c r="B51" s="8">
        <v>673.46326825153972</v>
      </c>
      <c r="C51" s="1">
        <v>0.11547005383792516</v>
      </c>
      <c r="D51" s="1">
        <v>4.9074772881118189</v>
      </c>
    </row>
    <row r="52" spans="1:4" x14ac:dyDescent="0.3">
      <c r="A52" s="1">
        <v>290.5</v>
      </c>
      <c r="B52" s="8">
        <v>668.46311824386737</v>
      </c>
      <c r="C52" s="1">
        <v>0.11547005383792516</v>
      </c>
      <c r="D52" s="1">
        <v>4.9074772881118189</v>
      </c>
    </row>
    <row r="53" spans="1:4" x14ac:dyDescent="0.3">
      <c r="A53" s="1">
        <v>291.5</v>
      </c>
      <c r="B53" s="8">
        <v>665.45383522701468</v>
      </c>
      <c r="C53" s="1">
        <v>0.11547005383792516</v>
      </c>
      <c r="D53" s="1">
        <v>5.4848275573014451</v>
      </c>
    </row>
    <row r="54" spans="1:4" x14ac:dyDescent="0.3">
      <c r="A54" s="1">
        <v>292.5</v>
      </c>
      <c r="B54" s="8">
        <v>656.48955641615851</v>
      </c>
      <c r="C54" s="1">
        <v>0.11547005383792516</v>
      </c>
      <c r="D54" s="1">
        <v>2.598076211353316</v>
      </c>
    </row>
    <row r="55" spans="1:4" x14ac:dyDescent="0.3">
      <c r="A55" s="1">
        <v>293.5</v>
      </c>
      <c r="B55" s="8">
        <v>653.96694158426715</v>
      </c>
      <c r="C55" s="1">
        <v>0.11547005383792516</v>
      </c>
      <c r="D55" s="1">
        <v>4.6188021535170067</v>
      </c>
    </row>
    <row r="56" spans="1:4" x14ac:dyDescent="0.3">
      <c r="A56" s="1">
        <v>294.5</v>
      </c>
      <c r="B56" s="8">
        <v>647.98130822981193</v>
      </c>
      <c r="C56" s="1">
        <v>0.11547005383792516</v>
      </c>
      <c r="D56" s="1">
        <v>3.4641016151377548</v>
      </c>
    </row>
    <row r="57" spans="1:4" x14ac:dyDescent="0.3">
      <c r="A57" s="1">
        <v>295.5</v>
      </c>
      <c r="B57" s="8">
        <v>644.98126932838807</v>
      </c>
      <c r="C57" s="1">
        <v>0.11547005383792516</v>
      </c>
      <c r="D57" s="1">
        <v>3.4641016151377548</v>
      </c>
    </row>
    <row r="58" spans="1:4" x14ac:dyDescent="0.3">
      <c r="A58" s="1">
        <v>297.5</v>
      </c>
      <c r="B58" s="8">
        <v>634.9664212342426</v>
      </c>
      <c r="C58" s="1">
        <v>0.11547005383792516</v>
      </c>
      <c r="D58" s="1">
        <v>4.6188021535170067</v>
      </c>
    </row>
    <row r="59" spans="1:4" x14ac:dyDescent="0.3">
      <c r="A59" s="1">
        <v>299.5</v>
      </c>
      <c r="B59" s="8">
        <v>626.47768066658602</v>
      </c>
      <c r="C59" s="1">
        <v>0.11547005383792516</v>
      </c>
      <c r="D59" s="1">
        <v>3.7527767497325675</v>
      </c>
    </row>
    <row r="60" spans="1:4" x14ac:dyDescent="0.3">
      <c r="A60" s="1">
        <v>301.5</v>
      </c>
      <c r="B60" s="8">
        <v>614.96584783011167</v>
      </c>
      <c r="C60" s="1">
        <v>0.11547005383792516</v>
      </c>
      <c r="D60" s="1">
        <v>4.6188021535170067</v>
      </c>
    </row>
    <row r="61" spans="1:4" x14ac:dyDescent="0.3">
      <c r="A61" s="1">
        <v>306.5</v>
      </c>
      <c r="B61" s="8">
        <v>595.97345573965447</v>
      </c>
      <c r="C61" s="1">
        <v>0.11547005383792516</v>
      </c>
      <c r="D61" s="1">
        <v>4.0414518843273806</v>
      </c>
    </row>
    <row r="62" spans="1:4" x14ac:dyDescent="0.3">
      <c r="A62" s="1">
        <v>311.5</v>
      </c>
      <c r="B62" s="8">
        <v>578.48887966849986</v>
      </c>
      <c r="C62" s="1">
        <v>0.11547005383792516</v>
      </c>
      <c r="D62" s="1">
        <v>2.598076211353316</v>
      </c>
    </row>
    <row r="63" spans="1:4" x14ac:dyDescent="0.3">
      <c r="A63" s="1">
        <v>316.5</v>
      </c>
      <c r="B63" s="8">
        <v>549</v>
      </c>
      <c r="C63" s="1">
        <v>0.11547005383792516</v>
      </c>
      <c r="D63" s="9">
        <v>0.11547005383792516</v>
      </c>
    </row>
    <row r="64" spans="1:4" x14ac:dyDescent="0.3">
      <c r="A64" s="1">
        <v>321.5</v>
      </c>
      <c r="B64" s="8">
        <v>529</v>
      </c>
      <c r="C64" s="1">
        <v>0.11547005383792516</v>
      </c>
      <c r="D64" s="9">
        <v>0.11547005383792516</v>
      </c>
    </row>
    <row r="65" spans="1:4" x14ac:dyDescent="0.3">
      <c r="A65" s="1">
        <v>326.5</v>
      </c>
      <c r="B65" s="8">
        <v>523</v>
      </c>
      <c r="C65" s="1">
        <v>0.11547005383792516</v>
      </c>
      <c r="D65" s="9">
        <v>0.11547005383792516</v>
      </c>
    </row>
    <row r="66" spans="1:4" x14ac:dyDescent="0.3">
      <c r="A66" s="1">
        <v>331.5</v>
      </c>
      <c r="B66" s="8">
        <v>512</v>
      </c>
      <c r="C66" s="1">
        <v>0.11547005383792516</v>
      </c>
      <c r="D66" s="9">
        <v>0.11547005383792516</v>
      </c>
    </row>
    <row r="67" spans="1:4" x14ac:dyDescent="0.3">
      <c r="A67" s="1">
        <v>336.5</v>
      </c>
      <c r="B67" s="8">
        <v>499</v>
      </c>
      <c r="C67" s="1">
        <v>0.11547005383792516</v>
      </c>
      <c r="D67" s="9">
        <v>0.11547005383792516</v>
      </c>
    </row>
    <row r="68" spans="1:4" x14ac:dyDescent="0.3">
      <c r="A68" s="1">
        <v>341.5</v>
      </c>
      <c r="B68" s="8">
        <v>489</v>
      </c>
      <c r="C68" s="1">
        <v>0.11547005383792516</v>
      </c>
      <c r="D68" s="9">
        <v>0.11547005383792516</v>
      </c>
    </row>
    <row r="69" spans="1:4" x14ac:dyDescent="0.3">
      <c r="A69" s="1">
        <v>346.5</v>
      </c>
      <c r="B69" s="8">
        <v>479</v>
      </c>
      <c r="C69" s="1">
        <v>0.11547005383792516</v>
      </c>
      <c r="D69" s="9">
        <v>0.11547005383792516</v>
      </c>
    </row>
    <row r="70" spans="1:4" x14ac:dyDescent="0.3">
      <c r="A70" s="1">
        <v>351.5</v>
      </c>
      <c r="B70" s="8">
        <v>468</v>
      </c>
      <c r="C70" s="1">
        <v>0.11547005383792516</v>
      </c>
      <c r="D70" s="9">
        <v>0.11547005383792516</v>
      </c>
    </row>
    <row r="71" spans="1:4" x14ac:dyDescent="0.3">
      <c r="A71" s="1">
        <v>356.5</v>
      </c>
      <c r="B71" s="8">
        <v>458</v>
      </c>
      <c r="C71" s="1">
        <v>0.11547005383792516</v>
      </c>
      <c r="D71" s="9">
        <v>0.11547005383792516</v>
      </c>
    </row>
    <row r="72" spans="1:4" x14ac:dyDescent="0.3">
      <c r="A72" s="1">
        <v>361.5</v>
      </c>
      <c r="B72" s="8">
        <v>451</v>
      </c>
      <c r="C72" s="1">
        <v>0.11547005383792516</v>
      </c>
      <c r="D72" s="9">
        <v>0.11547005383792516</v>
      </c>
    </row>
    <row r="73" spans="1:4" x14ac:dyDescent="0.3">
      <c r="A73" s="1">
        <v>366.5</v>
      </c>
      <c r="B73" s="8">
        <v>445</v>
      </c>
      <c r="C73" s="1">
        <v>0.11547005383792516</v>
      </c>
      <c r="D73" s="9">
        <v>0.11547005383792516</v>
      </c>
    </row>
    <row r="74" spans="1:4" x14ac:dyDescent="0.3">
      <c r="A74" s="1">
        <v>371.5</v>
      </c>
      <c r="B74" s="8">
        <v>436</v>
      </c>
      <c r="C74" s="1">
        <v>0.11547005383792516</v>
      </c>
      <c r="D74" s="9">
        <v>0.11547005383792516</v>
      </c>
    </row>
    <row r="75" spans="1:4" x14ac:dyDescent="0.3">
      <c r="A75" s="1">
        <v>376.5</v>
      </c>
      <c r="B75" s="8">
        <v>428</v>
      </c>
      <c r="C75" s="1">
        <v>0.11547005383792516</v>
      </c>
      <c r="D75" s="9">
        <v>0.11547005383792516</v>
      </c>
    </row>
    <row r="76" spans="1:4" x14ac:dyDescent="0.3">
      <c r="A76" s="1">
        <v>381.5</v>
      </c>
      <c r="B76" s="8">
        <v>420</v>
      </c>
      <c r="C76" s="1">
        <v>0.11547005383792516</v>
      </c>
      <c r="D76" s="9">
        <v>0.11547005383792516</v>
      </c>
    </row>
    <row r="77" spans="1:4" x14ac:dyDescent="0.3">
      <c r="A77" s="1">
        <v>386.5</v>
      </c>
      <c r="B77" s="8">
        <v>413</v>
      </c>
      <c r="C77" s="1">
        <v>0.11547005383792516</v>
      </c>
      <c r="D77" s="9">
        <v>0.11547005383792516</v>
      </c>
    </row>
    <row r="78" spans="1:4" x14ac:dyDescent="0.3">
      <c r="A78" s="1">
        <v>391.5</v>
      </c>
      <c r="B78" s="8">
        <v>404</v>
      </c>
      <c r="C78" s="1">
        <v>0.11547005383792516</v>
      </c>
      <c r="D78" s="9">
        <v>0.11547005383792516</v>
      </c>
    </row>
    <row r="79" spans="1:4" x14ac:dyDescent="0.3">
      <c r="A79" s="1">
        <v>396.5</v>
      </c>
      <c r="B79" s="8">
        <v>397</v>
      </c>
      <c r="C79" s="1">
        <v>0.11547005383792516</v>
      </c>
      <c r="D79" s="9">
        <v>0.11547005383792516</v>
      </c>
    </row>
    <row r="80" spans="1:4" x14ac:dyDescent="0.3">
      <c r="A80" s="1">
        <v>401.5</v>
      </c>
      <c r="B80" s="8">
        <v>400</v>
      </c>
      <c r="C80" s="1">
        <v>0.11547005383792516</v>
      </c>
      <c r="D80" s="9">
        <v>0.11547005383792516</v>
      </c>
    </row>
    <row r="81" spans="1:4" x14ac:dyDescent="0.3">
      <c r="A81" s="1">
        <v>406.5</v>
      </c>
      <c r="B81" s="8">
        <v>398</v>
      </c>
      <c r="C81" s="1">
        <v>0.11547005383792516</v>
      </c>
      <c r="D81" s="9">
        <v>0.11547005383792516</v>
      </c>
    </row>
    <row r="82" spans="1:4" x14ac:dyDescent="0.3">
      <c r="A82" s="1">
        <v>411.5</v>
      </c>
      <c r="B82" s="8">
        <v>395</v>
      </c>
      <c r="C82" s="1">
        <v>0.11547005383792516</v>
      </c>
      <c r="D82" s="9">
        <v>0.11547005383792516</v>
      </c>
    </row>
    <row r="83" spans="1:4" x14ac:dyDescent="0.3">
      <c r="A83" s="1">
        <v>416.5</v>
      </c>
      <c r="B83" s="8">
        <v>390</v>
      </c>
      <c r="C83" s="1">
        <v>0.11547005383792516</v>
      </c>
      <c r="D83" s="9">
        <v>0.11547005383792516</v>
      </c>
    </row>
    <row r="84" spans="1:4" x14ac:dyDescent="0.3">
      <c r="A84" s="1">
        <v>421.5</v>
      </c>
      <c r="B84" s="8">
        <v>387</v>
      </c>
      <c r="C84" s="1">
        <v>0.11547005383792516</v>
      </c>
      <c r="D84" s="9">
        <v>0.11547005383792516</v>
      </c>
    </row>
    <row r="85" spans="1:4" x14ac:dyDescent="0.3">
      <c r="A85" s="1">
        <v>426.5</v>
      </c>
      <c r="B85" s="8">
        <v>383</v>
      </c>
      <c r="C85" s="1">
        <v>0.11547005383792516</v>
      </c>
      <c r="D85" s="9">
        <v>0.11547005383792516</v>
      </c>
    </row>
    <row r="86" spans="1:4" x14ac:dyDescent="0.3">
      <c r="A86" s="1">
        <v>431.5</v>
      </c>
      <c r="B86" s="8">
        <v>379</v>
      </c>
      <c r="C86" s="1">
        <v>0.11547005383792516</v>
      </c>
      <c r="D86" s="9">
        <v>0.11547005383792516</v>
      </c>
    </row>
    <row r="87" spans="1:4" x14ac:dyDescent="0.3">
      <c r="A87" s="1">
        <v>441.5</v>
      </c>
      <c r="B87" s="8">
        <v>370</v>
      </c>
      <c r="C87" s="1">
        <v>0.11547005383792516</v>
      </c>
      <c r="D87" s="9">
        <v>0.11547005383792516</v>
      </c>
    </row>
    <row r="88" spans="1:4" x14ac:dyDescent="0.3">
      <c r="A88" s="1">
        <v>451.5</v>
      </c>
      <c r="B88" s="8">
        <v>365</v>
      </c>
      <c r="C88" s="1">
        <v>0.11547005383792516</v>
      </c>
      <c r="D88" s="9">
        <v>0.11547005383792516</v>
      </c>
    </row>
    <row r="89" spans="1:4" x14ac:dyDescent="0.3">
      <c r="A89" s="1">
        <v>461.5</v>
      </c>
      <c r="B89" s="8">
        <v>358</v>
      </c>
      <c r="C89" s="1">
        <v>0.11547005383792516</v>
      </c>
      <c r="D89" s="9">
        <v>0.11547005383792516</v>
      </c>
    </row>
    <row r="90" spans="1:4" x14ac:dyDescent="0.3">
      <c r="A90" s="1">
        <v>471.5</v>
      </c>
      <c r="B90" s="8">
        <v>343</v>
      </c>
      <c r="C90" s="1">
        <v>0.11547005383792516</v>
      </c>
      <c r="D90" s="9">
        <v>0.11547005383792516</v>
      </c>
    </row>
    <row r="91" spans="1:4" x14ac:dyDescent="0.3">
      <c r="A91" s="1">
        <v>481.5</v>
      </c>
      <c r="B91" s="8">
        <v>348</v>
      </c>
      <c r="C91" s="1">
        <v>0.11547005383792516</v>
      </c>
      <c r="D91" s="9">
        <v>0.11547005383792516</v>
      </c>
    </row>
    <row r="92" spans="1:4" x14ac:dyDescent="0.3">
      <c r="A92" s="1">
        <v>491.5</v>
      </c>
      <c r="B92" s="8">
        <v>343</v>
      </c>
      <c r="C92" s="1">
        <v>0.11547005383792516</v>
      </c>
      <c r="D92" s="9">
        <v>0.11547005383792516</v>
      </c>
    </row>
    <row r="93" spans="1:4" x14ac:dyDescent="0.3">
      <c r="A93" s="1">
        <v>501.5</v>
      </c>
      <c r="B93" s="8">
        <v>338</v>
      </c>
      <c r="C93" s="1">
        <v>0.11547005383792516</v>
      </c>
      <c r="D93" s="9">
        <v>0.11547005383792516</v>
      </c>
    </row>
    <row r="94" spans="1:4" x14ac:dyDescent="0.3">
      <c r="A94" s="1">
        <v>511.5</v>
      </c>
      <c r="B94" s="8">
        <v>333</v>
      </c>
      <c r="C94" s="1">
        <v>0.11547005383792516</v>
      </c>
      <c r="D94" s="9">
        <v>0.11547005383792516</v>
      </c>
    </row>
    <row r="95" spans="1:4" x14ac:dyDescent="0.3">
      <c r="A95" s="1">
        <v>521.5</v>
      </c>
      <c r="B95" s="8">
        <v>328</v>
      </c>
      <c r="C95" s="1">
        <v>0.11547005383792516</v>
      </c>
      <c r="D95" s="9">
        <v>0.11547005383792516</v>
      </c>
    </row>
    <row r="96" spans="1:4" x14ac:dyDescent="0.3">
      <c r="A96" s="1">
        <v>531.5</v>
      </c>
      <c r="B96" s="8">
        <v>323</v>
      </c>
      <c r="C96" s="1">
        <v>0.11547005383792516</v>
      </c>
      <c r="D96" s="9">
        <v>0.11547005383792516</v>
      </c>
    </row>
    <row r="97" spans="1:4" x14ac:dyDescent="0.3">
      <c r="A97" s="1">
        <v>541.5</v>
      </c>
      <c r="B97" s="8">
        <v>323</v>
      </c>
      <c r="C97" s="1">
        <v>0.11547005383792516</v>
      </c>
      <c r="D97" s="9">
        <v>0.11547005383792516</v>
      </c>
    </row>
    <row r="98" spans="1:4" x14ac:dyDescent="0.3">
      <c r="A98" s="1">
        <v>551.5</v>
      </c>
      <c r="B98" s="8">
        <v>318</v>
      </c>
      <c r="C98" s="1">
        <v>0.11547005383792516</v>
      </c>
      <c r="D98" s="9">
        <v>0.11547005383792516</v>
      </c>
    </row>
    <row r="99" spans="1:4" x14ac:dyDescent="0.3">
      <c r="A99" s="1">
        <v>561.5</v>
      </c>
      <c r="B99" s="8">
        <v>315</v>
      </c>
      <c r="C99" s="1">
        <v>0.11547005383792516</v>
      </c>
      <c r="D99" s="9">
        <v>0.11547005383792516</v>
      </c>
    </row>
    <row r="100" spans="1:4" x14ac:dyDescent="0.3">
      <c r="A100" s="1">
        <v>571.5</v>
      </c>
      <c r="B100" s="8">
        <v>313</v>
      </c>
      <c r="C100" s="1">
        <v>0.11547005383792516</v>
      </c>
      <c r="D100" s="9">
        <v>0.11547005383792516</v>
      </c>
    </row>
    <row r="101" spans="1:4" x14ac:dyDescent="0.3">
      <c r="A101" s="1">
        <v>581.5</v>
      </c>
      <c r="B101" s="8">
        <v>308</v>
      </c>
      <c r="C101" s="1">
        <v>0.11547005383792516</v>
      </c>
      <c r="D101" s="9">
        <v>0.11547005383792516</v>
      </c>
    </row>
    <row r="102" spans="1:4" x14ac:dyDescent="0.3">
      <c r="A102" s="1">
        <v>601.5</v>
      </c>
      <c r="B102" s="8">
        <v>303</v>
      </c>
      <c r="C102" s="1">
        <v>0.11547005383792516</v>
      </c>
      <c r="D102" s="9">
        <v>0.11547005383792516</v>
      </c>
    </row>
    <row r="103" spans="1:4" x14ac:dyDescent="0.3">
      <c r="A103" s="1">
        <v>621.5</v>
      </c>
      <c r="B103" s="8">
        <v>297</v>
      </c>
      <c r="C103" s="1">
        <v>0.11547005383792516</v>
      </c>
      <c r="D103" s="9">
        <v>0.11547005383792516</v>
      </c>
    </row>
    <row r="104" spans="1:4" x14ac:dyDescent="0.3">
      <c r="A104" s="1">
        <v>641.5</v>
      </c>
      <c r="B104" s="8">
        <v>296</v>
      </c>
      <c r="C104" s="1">
        <v>0.11547005383792516</v>
      </c>
      <c r="D104" s="9">
        <v>0.11547005383792516</v>
      </c>
    </row>
    <row r="105" spans="1:4" x14ac:dyDescent="0.3">
      <c r="A105" s="1">
        <v>661.5</v>
      </c>
      <c r="B105" s="8">
        <v>290</v>
      </c>
      <c r="C105" s="1">
        <v>0.11547005383792516</v>
      </c>
      <c r="D105" s="9">
        <v>0.11547005383792516</v>
      </c>
    </row>
    <row r="106" spans="1:4" x14ac:dyDescent="0.3">
      <c r="A106" s="1">
        <v>681.5</v>
      </c>
      <c r="B106" s="8">
        <v>288</v>
      </c>
      <c r="C106" s="1">
        <v>0.11547005383792516</v>
      </c>
      <c r="D106" s="9">
        <v>0.11547005383792516</v>
      </c>
    </row>
    <row r="107" spans="1:4" x14ac:dyDescent="0.3">
      <c r="A107" s="1">
        <v>731.5</v>
      </c>
      <c r="B107" s="8">
        <v>278</v>
      </c>
      <c r="C107" s="1">
        <v>0.11547005383792516</v>
      </c>
      <c r="D107" s="9">
        <v>0.11547005383792516</v>
      </c>
    </row>
    <row r="108" spans="1:4" x14ac:dyDescent="0.3">
      <c r="A108" s="1">
        <v>781.5</v>
      </c>
      <c r="B108" s="8">
        <v>271</v>
      </c>
      <c r="C108" s="1">
        <v>0.11547005383792516</v>
      </c>
      <c r="D108" s="9">
        <v>0.11547005383792516</v>
      </c>
    </row>
    <row r="109" spans="1:4" x14ac:dyDescent="0.3">
      <c r="A109" s="1">
        <v>831.5</v>
      </c>
      <c r="B109" s="8">
        <v>266</v>
      </c>
      <c r="C109" s="1">
        <v>0.11547005383792516</v>
      </c>
      <c r="D109" s="9">
        <v>0.11547005383792516</v>
      </c>
    </row>
    <row r="110" spans="1:4" x14ac:dyDescent="0.3">
      <c r="A110" s="1">
        <v>881.5</v>
      </c>
      <c r="B110" s="8">
        <v>262</v>
      </c>
      <c r="C110" s="1">
        <v>0.11547005383792516</v>
      </c>
      <c r="D110" s="9">
        <v>0.11547005383792516</v>
      </c>
    </row>
    <row r="111" spans="1:4" x14ac:dyDescent="0.3">
      <c r="A111" s="1">
        <v>981.5</v>
      </c>
      <c r="B111" s="8">
        <v>253</v>
      </c>
      <c r="C111" s="1">
        <v>0.11547005383792516</v>
      </c>
      <c r="D111" s="9">
        <v>0.11547005383792516</v>
      </c>
    </row>
    <row r="112" spans="1:4" x14ac:dyDescent="0.3">
      <c r="A112" s="1">
        <v>1081.5</v>
      </c>
      <c r="B112" s="8">
        <v>247</v>
      </c>
      <c r="C112" s="1">
        <v>0.11547005383792516</v>
      </c>
      <c r="D112" s="9">
        <v>0.11547005383792516</v>
      </c>
    </row>
    <row r="113" spans="1:4" x14ac:dyDescent="0.3">
      <c r="A113" s="1">
        <v>1181.5</v>
      </c>
      <c r="B113" s="8">
        <v>243</v>
      </c>
      <c r="C113" s="1">
        <v>0.11547005383792516</v>
      </c>
      <c r="D113" s="9">
        <v>0.11547005383792516</v>
      </c>
    </row>
    <row r="114" spans="1:4" x14ac:dyDescent="0.3">
      <c r="A114" s="1">
        <v>1281.5</v>
      </c>
      <c r="B114" s="8">
        <v>240</v>
      </c>
      <c r="C114" s="1">
        <v>0.11547005383792516</v>
      </c>
      <c r="D114" s="9">
        <v>0.11547005383792516</v>
      </c>
    </row>
    <row r="115" spans="1:4" x14ac:dyDescent="0.3">
      <c r="A115" s="1">
        <v>1381.5</v>
      </c>
      <c r="B115" s="8">
        <v>236</v>
      </c>
      <c r="C115" s="1">
        <v>0.11547005383792516</v>
      </c>
      <c r="D115" s="9">
        <v>0.11547005383792516</v>
      </c>
    </row>
    <row r="116" spans="1:4" x14ac:dyDescent="0.3">
      <c r="A116" s="1">
        <v>1481.5</v>
      </c>
      <c r="B116" s="8">
        <v>234</v>
      </c>
      <c r="C116" s="1">
        <v>0.11547005383792516</v>
      </c>
      <c r="D116" s="9">
        <v>0.11547005383792516</v>
      </c>
    </row>
    <row r="117" spans="1:4" x14ac:dyDescent="0.3">
      <c r="A117" s="1">
        <v>1631.5</v>
      </c>
      <c r="B117" s="8">
        <v>230</v>
      </c>
      <c r="C117" s="1">
        <v>0.11547005383792516</v>
      </c>
      <c r="D117" s="9">
        <v>0.11547005383792516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Parametri</vt:lpstr>
      <vt:lpstr>Dati (2)</vt:lpstr>
      <vt:lpstr>Dati</vt:lpstr>
      <vt:lpstr>Data</vt:lpstr>
      <vt:lpstr>Sheet2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MIROLO MANUELE [SM2001968]</cp:lastModifiedBy>
  <cp:revision>0</cp:revision>
  <dcterms:created xsi:type="dcterms:W3CDTF">2026-10-16T08:20:35Z</dcterms:created>
  <dcterms:modified xsi:type="dcterms:W3CDTF">2026-10-19T14:58:54Z</dcterms:modified>
  <dc:language>en-US</dc:language>
</cp:coreProperties>
</file>