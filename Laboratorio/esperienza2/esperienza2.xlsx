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Parametri" sheetId="1" state="visible" r:id="rId3"/>
    <sheet name="Dati (2)" sheetId="2" state="visible" r:id="rId4"/>
    <sheet name="Dati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<sst xmlns="http://schemas.openxmlformats.org/spreadsheetml/2006/main" count="34" uniqueCount="23">
  <si>
    <t xml:space="preserve"> L</t>
  </si>
  <si>
    <t xml:space="preserve">err_L</t>
  </si>
  <si>
    <t xml:space="preserve">sigma_L</t>
  </si>
  <si>
    <t xml:space="preserve">D</t>
  </si>
  <si>
    <t xml:space="preserve">err_D</t>
  </si>
  <si>
    <t xml:space="preserve">sigma_D</t>
  </si>
  <si>
    <t xml:space="preserve">y_0</t>
  </si>
  <si>
    <t xml:space="preserve">err_y0</t>
  </si>
  <si>
    <t xml:space="preserve">sigma_y0</t>
  </si>
  <si>
    <t xml:space="preserve">sigma_y</t>
  </si>
  <si>
    <t xml:space="preserve">x_0</t>
  </si>
  <si>
    <t xml:space="preserve">err_x0</t>
  </si>
  <si>
    <t xml:space="preserve">sigma_x0</t>
  </si>
  <si>
    <t xml:space="preserve">sigma_x</t>
  </si>
  <si>
    <t xml:space="preserve">x</t>
  </si>
  <si>
    <t xml:space="preserve">y_min</t>
  </si>
  <si>
    <t xml:space="preserve">y_max</t>
  </si>
  <si>
    <t xml:space="preserve">y_max2</t>
  </si>
  <si>
    <t xml:space="preserve">y</t>
  </si>
  <si>
    <t xml:space="preserve">p</t>
  </si>
  <si>
    <t xml:space="preserve">q</t>
  </si>
  <si>
    <t xml:space="preserve">sigma_p</t>
  </si>
  <si>
    <t xml:space="preserve">sigma_q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</si>
</sst>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#,##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.43"/>
    <col collapsed="false" customWidth="true" hidden="false" outlineLevel="0" max="4" min="2" style="2" width="12.43"/>
  </cols>
  <sheetData>
    <row r="1" customFormat="false" ht="17.25" hidden="false" customHeight="true" outlineLevel="0" collapsed="false">
      <c r="A1" s="3" t="s">
        <v>0</v>
      </c>
      <c r="B1" s="4" t="s">
        <v>1</v>
      </c>
      <c r="C1" s="4" t="s">
        <v>2</v>
      </c>
    </row>
    <row r="2" customFormat="false" ht="17.25" hidden="false" customHeight="true" outlineLevel="0" collapsed="false">
      <c r="A2" s="3"/>
      <c r="B2" s="4"/>
      <c r="C2" s="4"/>
    </row>
    <row r="3" customFormat="false" ht="17.25" hidden="false" customHeight="true" outlineLevel="0" collapsed="false"/>
    <row r="4" customFormat="false" ht="17.25" hidden="false" customHeight="true" outlineLevel="0" collapsed="false">
      <c r="A4" s="3" t="s">
        <v>3</v>
      </c>
      <c r="B4" s="4" t="s">
        <v>4</v>
      </c>
      <c r="C4" s="4" t="s">
        <v>5</v>
      </c>
    </row>
    <row r="5" customFormat="false" ht="17.25" hidden="false" customHeight="true" outlineLevel="0" collapsed="false">
      <c r="A5" s="3"/>
      <c r="B5" s="4"/>
      <c r="C5" s="4"/>
    </row>
    <row r="6" customFormat="false" ht="17.25" hidden="false" customHeight="true" outlineLevel="0" collapsed="false"/>
    <row r="7" customFormat="false" ht="17.25" hidden="false" customHeight="true" outlineLevel="0" collapsed="false">
      <c r="A7" s="3" t="s">
        <v>6</v>
      </c>
      <c r="B7" s="4" t="s">
        <v>7</v>
      </c>
      <c r="C7" s="4" t="s">
        <v>8</v>
      </c>
      <c r="D7" s="4" t="s">
        <v>9</v>
      </c>
    </row>
    <row r="8" customFormat="false" ht="17.25" hidden="false" customHeight="true" outlineLevel="0" collapsed="false">
      <c r="A8" s="3"/>
      <c r="B8" s="5" t="n">
        <v>0.2</v>
      </c>
      <c r="C8" s="5" t="n">
        <f aca="false">B8/SQRT(3)</f>
        <v>0.115470053837925</v>
      </c>
      <c r="D8" s="5" t="n">
        <f aca="false">B8/SQRT(3)</f>
        <v>0.115470053837925</v>
      </c>
    </row>
    <row r="9" customFormat="false" ht="17.25" hidden="false" customHeight="true" outlineLevel="0" collapsed="false"/>
    <row r="10" customFormat="false" ht="17.25" hidden="false" customHeight="true" outlineLevel="0" collapsed="false">
      <c r="A10" s="3" t="s">
        <v>10</v>
      </c>
      <c r="B10" s="4" t="s">
        <v>11</v>
      </c>
      <c r="C10" s="4" t="s">
        <v>12</v>
      </c>
      <c r="D10" s="4" t="s">
        <v>13</v>
      </c>
    </row>
    <row r="11" customFormat="false" ht="17.25" hidden="false" customHeight="true" outlineLevel="0" collapsed="false">
      <c r="A11" s="3"/>
      <c r="B11" s="5" t="n">
        <v>0.2</v>
      </c>
      <c r="C11" s="5" t="n">
        <f aca="false">B11/SQRT(3)</f>
        <v>0.115470053837925</v>
      </c>
      <c r="D11" s="5" t="n">
        <f aca="false">B11/SQRT(3)</f>
        <v>0.115470053837925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6" width="12.43"/>
    <col collapsed="false" customWidth="true" hidden="false" outlineLevel="0" max="3" min="2" style="1" width="12.43"/>
    <col collapsed="false" customWidth="true" hidden="false" outlineLevel="0" max="4" min="4" style="7" width="12.43"/>
    <col collapsed="false" customWidth="true" hidden="false" outlineLevel="0" max="10" min="5" style="6" width="12.43"/>
  </cols>
  <sheetData>
    <row r="1" customFormat="false" ht="17.25" hidden="false" customHeight="true" outlineLevel="0" collapsed="false">
      <c r="A1" s="6" t="s">
        <v>14</v>
      </c>
      <c r="B1" s="1" t="s">
        <v>15</v>
      </c>
      <c r="C1" s="1" t="s">
        <v>16</v>
      </c>
      <c r="D1" s="7" t="s">
        <v>17</v>
      </c>
      <c r="E1" s="6" t="s">
        <v>18</v>
      </c>
      <c r="F1" s="6" t="s">
        <v>9</v>
      </c>
      <c r="G1" s="6" t="s">
        <v>19</v>
      </c>
      <c r="H1" s="6" t="s">
        <v>20</v>
      </c>
      <c r="I1" s="6" t="s">
        <v>21</v>
      </c>
      <c r="J1" s="6" t="s">
        <v>22</v>
      </c>
    </row>
    <row r="2" customFormat="false" ht="17.25" hidden="false" customHeight="true" outlineLevel="0" collapsed="false">
      <c r="A2" s="8" t="n">
        <v>270</v>
      </c>
      <c r="D2" s="9" t="n">
        <f aca="false">B2+2*E2</f>
        <v>3950</v>
      </c>
      <c r="E2" s="10" t="n">
        <v>1975</v>
      </c>
      <c r="F2" s="10" t="n">
        <f aca="false">IF(C2=0, Parametri!$D$8, ABS(B2-C2)/(2*SQRT(3)))</f>
        <v>0.115470053837925</v>
      </c>
      <c r="G2" s="10" t="n">
        <f aca="false">(A2-335)+135.8+(Parametri!$A$5/2)</f>
        <v>70.8</v>
      </c>
      <c r="H2" s="10" t="n">
        <f aca="false">(E2-192)-('Dati (2)'!A2-Parametri!$A$11)+Parametri!$A$2</f>
        <v>1513</v>
      </c>
      <c r="I2" s="10" t="n">
        <f aca="false">F2</f>
        <v>0.115470053837925</v>
      </c>
      <c r="J2" s="10" t="n">
        <f aca="false">Parametri!$D$8</f>
        <v>0.115470053837925</v>
      </c>
    </row>
    <row r="3" customFormat="false" ht="17.25" hidden="false" customHeight="true" outlineLevel="0" collapsed="false">
      <c r="A3" s="8" t="n">
        <f aca="false">A2+1</f>
        <v>271</v>
      </c>
      <c r="D3" s="9" t="n">
        <f aca="false">B3+2*E3</f>
        <v>3950</v>
      </c>
      <c r="E3" s="10" t="n">
        <v>1975</v>
      </c>
      <c r="F3" s="10" t="n">
        <f aca="false">IF(C3=0, Parametri!$D$8, ABS(B3-C3)/(2*SQRT(3)))</f>
        <v>0.115470053837925</v>
      </c>
      <c r="G3" s="10" t="n">
        <f aca="false">(A3-335)+135.8+(Parametri!$A$5/2)</f>
        <v>71.8</v>
      </c>
      <c r="H3" s="10" t="n">
        <f aca="false">(E3-192)-('Dati (2)'!A3-Parametri!$A$11)+Parametri!$A$2</f>
        <v>1512</v>
      </c>
      <c r="I3" s="10" t="n">
        <f aca="false">F3</f>
        <v>0.115470053837925</v>
      </c>
      <c r="J3" s="10" t="n">
        <f aca="false">Parametri!$D$8</f>
        <v>0.115470053837925</v>
      </c>
    </row>
    <row r="4" customFormat="false" ht="17.25" hidden="false" customHeight="true" outlineLevel="0" collapsed="false">
      <c r="A4" s="8" t="n">
        <f aca="false">A3+1</f>
        <v>272</v>
      </c>
      <c r="D4" s="9" t="n">
        <f aca="false">B4+2*E4</f>
        <v>3824</v>
      </c>
      <c r="E4" s="10" t="n">
        <v>1912</v>
      </c>
      <c r="F4" s="10" t="n">
        <f aca="false">IF(C4=0, Parametri!$D$8, ABS(B4-C4)/(2*SQRT(3)))</f>
        <v>0.115470053837925</v>
      </c>
      <c r="G4" s="10" t="n">
        <f aca="false">(A4-335)+135.8+(Parametri!$A$5/2)</f>
        <v>72.8</v>
      </c>
      <c r="H4" s="10" t="n">
        <f aca="false">(E4-192)-('Dati (2)'!A4-Parametri!$A$11)+Parametri!$A$2</f>
        <v>1448</v>
      </c>
      <c r="I4" s="10" t="n">
        <f aca="false">F4</f>
        <v>0.115470053837925</v>
      </c>
      <c r="J4" s="10" t="n">
        <f aca="false">Parametri!$D$8</f>
        <v>0.115470053837925</v>
      </c>
    </row>
    <row r="5" customFormat="false" ht="17.25" hidden="false" customHeight="true" outlineLevel="0" collapsed="false">
      <c r="A5" s="8" t="n">
        <f aca="false">A4+1</f>
        <v>273</v>
      </c>
      <c r="D5" s="9" t="n">
        <f aca="false">B5+2*E5</f>
        <v>3786</v>
      </c>
      <c r="E5" s="10" t="n">
        <v>1893</v>
      </c>
      <c r="F5" s="10" t="n">
        <f aca="false">IF(C5=0, Parametri!$D$8, ABS(B5-C5)/(2*SQRT(3)))</f>
        <v>0.115470053837925</v>
      </c>
      <c r="G5" s="10" t="n">
        <f aca="false">(A5-335)+135.8+(Parametri!$A$5/2)</f>
        <v>73.8</v>
      </c>
      <c r="H5" s="10" t="n">
        <f aca="false">(E5-192)-('Dati (2)'!A5-Parametri!$A$11)+Parametri!$A$2</f>
        <v>1428</v>
      </c>
      <c r="I5" s="10" t="n">
        <f aca="false">F5</f>
        <v>0.115470053837925</v>
      </c>
      <c r="J5" s="10" t="n">
        <f aca="false">Parametri!$D$8</f>
        <v>0.115470053837925</v>
      </c>
    </row>
    <row r="6" customFormat="false" ht="17.25" hidden="false" customHeight="true" outlineLevel="0" collapsed="false">
      <c r="A6" s="8" t="n">
        <f aca="false">A5+1</f>
        <v>274</v>
      </c>
      <c r="D6" s="9" t="n">
        <f aca="false">B6+2*E6</f>
        <v>3634</v>
      </c>
      <c r="E6" s="10" t="n">
        <v>1817</v>
      </c>
      <c r="F6" s="10" t="n">
        <f aca="false">IF(C6=0, Parametri!$D$8, ABS(B6-C6)/(2*SQRT(3)))</f>
        <v>0.115470053837925</v>
      </c>
      <c r="G6" s="10" t="n">
        <f aca="false">(A6-335)+135.8+(Parametri!$A$5/2)</f>
        <v>74.8</v>
      </c>
      <c r="H6" s="10" t="n">
        <f aca="false">(E6-192)-('Dati (2)'!A6-Parametri!$A$11)+Parametri!$A$2</f>
        <v>1351</v>
      </c>
      <c r="I6" s="10" t="n">
        <f aca="false">F6</f>
        <v>0.115470053837925</v>
      </c>
      <c r="J6" s="10" t="n">
        <f aca="false">Parametri!$D$8</f>
        <v>0.115470053837925</v>
      </c>
    </row>
    <row r="7" customFormat="false" ht="17.25" hidden="false" customHeight="true" outlineLevel="0" collapsed="false">
      <c r="A7" s="8" t="n">
        <f aca="false">A6+1</f>
        <v>275</v>
      </c>
      <c r="D7" s="9" t="n">
        <f aca="false">B7+2*E7</f>
        <v>3566</v>
      </c>
      <c r="E7" s="10" t="n">
        <v>1783</v>
      </c>
      <c r="F7" s="10" t="n">
        <f aca="false">IF(C7=0, Parametri!$D$8, ABS(B7-C7)/(2*SQRT(3)))</f>
        <v>0.115470053837925</v>
      </c>
      <c r="G7" s="10" t="n">
        <f aca="false">(A7-335)+135.8+(Parametri!$A$5/2)</f>
        <v>75.8</v>
      </c>
      <c r="H7" s="10" t="n">
        <f aca="false">(E7-192)-('Dati (2)'!A7-Parametri!$A$11)+Parametri!$A$2</f>
        <v>1316</v>
      </c>
      <c r="I7" s="10" t="n">
        <f aca="false">F7</f>
        <v>0.115470053837925</v>
      </c>
      <c r="J7" s="10" t="n">
        <f aca="false">Parametri!$D$8</f>
        <v>0.115470053837925</v>
      </c>
    </row>
    <row r="8" customFormat="false" ht="17.25" hidden="false" customHeight="true" outlineLevel="0" collapsed="false">
      <c r="A8" s="8" t="n">
        <f aca="false">A7+1</f>
        <v>276</v>
      </c>
      <c r="D8" s="9" t="n">
        <f aca="false">B8+2*E8</f>
        <v>3447</v>
      </c>
      <c r="E8" s="10" t="n">
        <v>1723.5</v>
      </c>
      <c r="F8" s="10" t="n">
        <f aca="false">IF(C8=0, Parametri!$D$8, ABS(B8-C8)/(2*SQRT(3)))</f>
        <v>0.115470053837925</v>
      </c>
      <c r="G8" s="10" t="n">
        <f aca="false">(A8-335)+135.8+(Parametri!$A$5/2)</f>
        <v>76.8</v>
      </c>
      <c r="H8" s="10" t="n">
        <f aca="false">(E8-192)-('Dati (2)'!A8-Parametri!$A$11)+Parametri!$A$2</f>
        <v>1255.5</v>
      </c>
      <c r="I8" s="10" t="n">
        <f aca="false">F8</f>
        <v>0.115470053837925</v>
      </c>
      <c r="J8" s="10" t="n">
        <f aca="false">Parametri!$D$8</f>
        <v>0.115470053837925</v>
      </c>
    </row>
    <row r="9" customFormat="false" ht="17.25" hidden="false" customHeight="true" outlineLevel="0" collapsed="false">
      <c r="A9" s="8" t="n">
        <f aca="false">A8+1</f>
        <v>277</v>
      </c>
      <c r="D9" s="9" t="n">
        <f aca="false">B9+2*E9</f>
        <v>3352</v>
      </c>
      <c r="E9" s="10" t="n">
        <v>1676</v>
      </c>
      <c r="F9" s="10" t="n">
        <f aca="false">IF(C9=0, Parametri!$D$8, ABS(B9-C9)/(2*SQRT(3)))</f>
        <v>0.115470053837925</v>
      </c>
      <c r="G9" s="10" t="n">
        <f aca="false">(A9-335)+135.8+(Parametri!$A$5/2)</f>
        <v>77.8</v>
      </c>
      <c r="H9" s="10" t="n">
        <f aca="false">(E9-192)-('Dati (2)'!A9-Parametri!$A$11)+Parametri!$A$2</f>
        <v>1207</v>
      </c>
      <c r="I9" s="10" t="n">
        <f aca="false">F9</f>
        <v>0.115470053837925</v>
      </c>
      <c r="J9" s="10" t="n">
        <f aca="false">Parametri!$D$8</f>
        <v>0.115470053837925</v>
      </c>
    </row>
    <row r="10" customFormat="false" ht="17.25" hidden="false" customHeight="true" outlineLevel="0" collapsed="false">
      <c r="A10" s="8" t="n">
        <f aca="false">A9+1</f>
        <v>278</v>
      </c>
      <c r="D10" s="9" t="n">
        <f aca="false">B10+2*E10</f>
        <v>3320</v>
      </c>
      <c r="E10" s="10" t="n">
        <v>1660</v>
      </c>
      <c r="F10" s="10" t="n">
        <f aca="false">IF(C10=0, Parametri!$D$8, ABS(B10-C10)/(2*SQRT(3)))</f>
        <v>0.115470053837925</v>
      </c>
      <c r="G10" s="10" t="n">
        <f aca="false">(A10-335)+135.8+(Parametri!$A$5/2)</f>
        <v>78.8</v>
      </c>
      <c r="H10" s="10" t="n">
        <f aca="false">(E10-192)-('Dati (2)'!A10-Parametri!$A$11)+Parametri!$A$2</f>
        <v>1190</v>
      </c>
      <c r="I10" s="10" t="n">
        <f aca="false">F10</f>
        <v>0.115470053837925</v>
      </c>
      <c r="J10" s="10" t="n">
        <f aca="false">Parametri!$D$8</f>
        <v>0.115470053837925</v>
      </c>
    </row>
    <row r="11" customFormat="false" ht="17.25" hidden="false" customHeight="true" outlineLevel="0" collapsed="false">
      <c r="A11" s="8" t="n">
        <f aca="false">A10+1</f>
        <v>279</v>
      </c>
      <c r="D11" s="9" t="n">
        <f aca="false">B11+2*E11</f>
        <v>3231</v>
      </c>
      <c r="E11" s="10" t="n">
        <v>1615.5</v>
      </c>
      <c r="F11" s="10" t="n">
        <f aca="false">IF(C11=0, Parametri!$D$8, ABS(B11-C11)/(2*SQRT(3)))</f>
        <v>0.115470053837925</v>
      </c>
      <c r="G11" s="10" t="n">
        <f aca="false">(A11-335)+135.8+(Parametri!$A$5/2)</f>
        <v>79.8</v>
      </c>
      <c r="H11" s="10" t="n">
        <f aca="false">(E11-192)-('Dati (2)'!A11-Parametri!$A$11)+Parametri!$A$2</f>
        <v>1144.5</v>
      </c>
      <c r="I11" s="10" t="n">
        <f aca="false">F11</f>
        <v>0.115470053837925</v>
      </c>
      <c r="J11" s="10" t="n">
        <f aca="false">Parametri!$D$8</f>
        <v>0.115470053837925</v>
      </c>
    </row>
    <row r="12" customFormat="false" ht="17.25" hidden="false" customHeight="true" outlineLevel="0" collapsed="false">
      <c r="A12" s="8" t="n">
        <f aca="false">A11+1</f>
        <v>280</v>
      </c>
      <c r="D12" s="9" t="n">
        <f aca="false">B12+2*E12</f>
        <v>3163</v>
      </c>
      <c r="E12" s="10" t="n">
        <v>1581.5</v>
      </c>
      <c r="F12" s="10" t="n">
        <f aca="false">IF(C12=0, Parametri!$D$8, ABS(B12-C12)/(2*SQRT(3)))</f>
        <v>0.115470053837925</v>
      </c>
      <c r="G12" s="10" t="n">
        <f aca="false">(A12-335)+135.8+(Parametri!$A$5/2)</f>
        <v>80.8</v>
      </c>
      <c r="H12" s="10" t="n">
        <f aca="false">(E12-192)-('Dati (2)'!A12-Parametri!$A$11)+Parametri!$A$2</f>
        <v>1109.5</v>
      </c>
      <c r="I12" s="10" t="n">
        <f aca="false">F12</f>
        <v>0.115470053837925</v>
      </c>
      <c r="J12" s="10" t="n">
        <f aca="false">Parametri!$D$8</f>
        <v>0.115470053837925</v>
      </c>
    </row>
    <row r="13" customFormat="false" ht="17.25" hidden="false" customHeight="true" outlineLevel="0" collapsed="false">
      <c r="A13" s="8" t="n">
        <f aca="false">A12+1</f>
        <v>281</v>
      </c>
      <c r="D13" s="9" t="n">
        <f aca="false">B13+2*E13</f>
        <v>3122</v>
      </c>
      <c r="E13" s="10" t="n">
        <v>1561</v>
      </c>
      <c r="F13" s="10" t="n">
        <f aca="false">IF(C13=0, Parametri!$D$8, ABS(B13-C13)/(2*SQRT(3)))</f>
        <v>0.115470053837925</v>
      </c>
      <c r="G13" s="10" t="n">
        <f aca="false">(A13-335)+135.8+(Parametri!$A$5/2)</f>
        <v>81.8</v>
      </c>
      <c r="H13" s="10" t="n">
        <f aca="false">(E13-192)-('Dati (2)'!A13-Parametri!$A$11)+Parametri!$A$2</f>
        <v>1088</v>
      </c>
      <c r="I13" s="10" t="n">
        <f aca="false">F13</f>
        <v>0.115470053837925</v>
      </c>
      <c r="J13" s="10" t="n">
        <f aca="false">Parametri!$D$8</f>
        <v>0.115470053837925</v>
      </c>
    </row>
    <row r="14" customFormat="false" ht="17.25" hidden="false" customHeight="true" outlineLevel="0" collapsed="false">
      <c r="A14" s="8" t="n">
        <f aca="false">A13+1</f>
        <v>282</v>
      </c>
      <c r="D14" s="9" t="n">
        <f aca="false">B14+2*E14</f>
        <v>3067</v>
      </c>
      <c r="E14" s="10" t="n">
        <v>1533.5</v>
      </c>
      <c r="F14" s="10" t="n">
        <f aca="false">IF(C14=0, Parametri!$D$8, ABS(B14-C14)/(2*SQRT(3)))</f>
        <v>0.115470053837925</v>
      </c>
      <c r="G14" s="10" t="n">
        <f aca="false">(A14-335)+135.8+(Parametri!$A$5/2)</f>
        <v>82.8</v>
      </c>
      <c r="H14" s="10" t="n">
        <f aca="false">(E14-192)-('Dati (2)'!A14-Parametri!$A$11)+Parametri!$A$2</f>
        <v>1059.5</v>
      </c>
      <c r="I14" s="10" t="n">
        <f aca="false">F14</f>
        <v>0.115470053837925</v>
      </c>
      <c r="J14" s="10" t="n">
        <f aca="false">Parametri!$D$8</f>
        <v>0.115470053837925</v>
      </c>
    </row>
    <row r="15" customFormat="false" ht="17.25" hidden="false" customHeight="true" outlineLevel="0" collapsed="false">
      <c r="A15" s="8" t="n">
        <f aca="false">A14+1</f>
        <v>283</v>
      </c>
      <c r="D15" s="9" t="n">
        <f aca="false">B15+2*E15</f>
        <v>3021</v>
      </c>
      <c r="E15" s="10" t="n">
        <v>1510.5</v>
      </c>
      <c r="F15" s="10" t="n">
        <f aca="false">IF(C15=0, Parametri!$D$8, ABS(B15-C15)/(2*SQRT(3)))</f>
        <v>0.115470053837925</v>
      </c>
      <c r="G15" s="10" t="n">
        <f aca="false">(A15-335)+135.8+(Parametri!$A$5/2)</f>
        <v>83.8</v>
      </c>
      <c r="H15" s="10" t="n">
        <f aca="false">(E15-192)-('Dati (2)'!A15-Parametri!$A$11)+Parametri!$A$2</f>
        <v>1035.5</v>
      </c>
      <c r="I15" s="10" t="n">
        <f aca="false">F15</f>
        <v>0.115470053837925</v>
      </c>
      <c r="J15" s="10" t="n">
        <f aca="false">Parametri!$D$8</f>
        <v>0.115470053837925</v>
      </c>
    </row>
    <row r="16" customFormat="false" ht="17.25" hidden="false" customHeight="true" outlineLevel="0" collapsed="false">
      <c r="A16" s="8" t="n">
        <f aca="false">A15+1</f>
        <v>284</v>
      </c>
      <c r="D16" s="9" t="n">
        <f aca="false">B16+2*E16</f>
        <v>2973</v>
      </c>
      <c r="E16" s="10" t="n">
        <v>1486.5</v>
      </c>
      <c r="F16" s="10" t="n">
        <f aca="false">IF(C16=0, Parametri!$D$8, ABS(B16-C16)/(2*SQRT(3)))</f>
        <v>0.115470053837925</v>
      </c>
      <c r="G16" s="10" t="n">
        <f aca="false">(A16-335)+135.8+(Parametri!$A$5/2)</f>
        <v>84.8</v>
      </c>
      <c r="H16" s="10" t="n">
        <f aca="false">(E16-192)-('Dati (2)'!A16-Parametri!$A$11)+Parametri!$A$2</f>
        <v>1010.5</v>
      </c>
      <c r="I16" s="10" t="n">
        <f aca="false">F16</f>
        <v>0.115470053837925</v>
      </c>
      <c r="J16" s="10" t="n">
        <f aca="false">Parametri!$D$8</f>
        <v>0.115470053837925</v>
      </c>
    </row>
    <row r="17" customFormat="false" ht="17.25" hidden="false" customHeight="true" outlineLevel="0" collapsed="false">
      <c r="A17" s="8" t="n">
        <f aca="false">A16+1</f>
        <v>285</v>
      </c>
      <c r="D17" s="9" t="n">
        <f aca="false">B17+2*E17</f>
        <v>2924</v>
      </c>
      <c r="E17" s="10" t="n">
        <v>1462</v>
      </c>
      <c r="F17" s="10" t="n">
        <f aca="false">IF(C17=0, Parametri!$D$8, ABS(B17-C17)/(2*SQRT(3)))</f>
        <v>0.115470053837925</v>
      </c>
      <c r="G17" s="10" t="n">
        <f aca="false">(A17-335)+135.8+(Parametri!$A$5/2)</f>
        <v>85.8</v>
      </c>
      <c r="H17" s="10" t="n">
        <f aca="false">(E17-192)-('Dati (2)'!A17-Parametri!$A$11)+Parametri!$A$2</f>
        <v>985</v>
      </c>
      <c r="I17" s="10" t="n">
        <f aca="false">F17</f>
        <v>0.115470053837925</v>
      </c>
      <c r="J17" s="10" t="n">
        <f aca="false">Parametri!$D$8</f>
        <v>0.115470053837925</v>
      </c>
    </row>
    <row r="18" customFormat="false" ht="17.25" hidden="false" customHeight="true" outlineLevel="0" collapsed="false">
      <c r="A18" s="8" t="n">
        <f aca="false">A17+1</f>
        <v>286</v>
      </c>
      <c r="D18" s="9" t="n">
        <f aca="false">B18+2*E18</f>
        <v>2885</v>
      </c>
      <c r="E18" s="10" t="n">
        <v>1442.5</v>
      </c>
      <c r="F18" s="10" t="n">
        <f aca="false">IF(C18=0, Parametri!$D$8, ABS(B18-C18)/(2*SQRT(3)))</f>
        <v>0.115470053837925</v>
      </c>
      <c r="G18" s="10" t="n">
        <f aca="false">(A18-335)+135.8+(Parametri!$A$5/2)</f>
        <v>86.8</v>
      </c>
      <c r="H18" s="10" t="n">
        <f aca="false">(E18-192)-('Dati (2)'!A18-Parametri!$A$11)+Parametri!$A$2</f>
        <v>964.5</v>
      </c>
      <c r="I18" s="10" t="n">
        <f aca="false">F18</f>
        <v>0.115470053837925</v>
      </c>
      <c r="J18" s="10" t="n">
        <f aca="false">Parametri!$D$8</f>
        <v>0.115470053837925</v>
      </c>
    </row>
    <row r="19" customFormat="false" ht="17.25" hidden="false" customHeight="true" outlineLevel="0" collapsed="false">
      <c r="A19" s="8" t="n">
        <f aca="false">A18+1</f>
        <v>287</v>
      </c>
      <c r="D19" s="9" t="n">
        <f aca="false">B19+2*E19</f>
        <v>2842</v>
      </c>
      <c r="E19" s="10" t="n">
        <v>1421</v>
      </c>
      <c r="F19" s="10" t="n">
        <f aca="false">IF(C19=0, Parametri!$D$8, ABS(B19-C19)/(2*SQRT(3)))</f>
        <v>0.115470053837925</v>
      </c>
      <c r="G19" s="10" t="n">
        <f aca="false">(A19-335)+135.8+(Parametri!$A$5/2)</f>
        <v>87.8</v>
      </c>
      <c r="H19" s="10" t="n">
        <f aca="false">(E19-192)-('Dati (2)'!A19-Parametri!$A$11)+Parametri!$A$2</f>
        <v>942</v>
      </c>
      <c r="I19" s="10" t="n">
        <f aca="false">F19</f>
        <v>0.115470053837925</v>
      </c>
      <c r="J19" s="10" t="n">
        <f aca="false">Parametri!$D$8</f>
        <v>0.115470053837925</v>
      </c>
    </row>
    <row r="20" customFormat="false" ht="17.25" hidden="false" customHeight="true" outlineLevel="0" collapsed="false">
      <c r="A20" s="8" t="n">
        <f aca="false">A19+1</f>
        <v>288</v>
      </c>
      <c r="D20" s="9" t="n">
        <f aca="false">B20+2*E20</f>
        <v>2817</v>
      </c>
      <c r="E20" s="10" t="n">
        <v>1408.5</v>
      </c>
      <c r="F20" s="10" t="n">
        <f aca="false">IF(C20=0, Parametri!$D$8, ABS(B20-C20)/(2*SQRT(3)))</f>
        <v>0.115470053837925</v>
      </c>
      <c r="G20" s="10" t="n">
        <f aca="false">(A20-335)+135.8+(Parametri!$A$5/2)</f>
        <v>88.8</v>
      </c>
      <c r="H20" s="10" t="n">
        <f aca="false">(E20-192)-('Dati (2)'!A20-Parametri!$A$11)+Parametri!$A$2</f>
        <v>928.5</v>
      </c>
      <c r="I20" s="10" t="n">
        <f aca="false">F20</f>
        <v>0.115470053837925</v>
      </c>
      <c r="J20" s="10" t="n">
        <f aca="false">Parametri!$D$8</f>
        <v>0.115470053837925</v>
      </c>
    </row>
    <row r="21" customFormat="false" ht="17.25" hidden="false" customHeight="true" outlineLevel="0" collapsed="false">
      <c r="A21" s="8" t="n">
        <f aca="false">A20+1</f>
        <v>289</v>
      </c>
      <c r="D21" s="9" t="n">
        <f aca="false">B21+2*E21</f>
        <v>2760</v>
      </c>
      <c r="E21" s="10" t="n">
        <v>1380</v>
      </c>
      <c r="F21" s="10" t="n">
        <f aca="false">IF(C21=0, Parametri!$D$8, ABS(B21-C21)/(2*SQRT(3)))</f>
        <v>0.115470053837925</v>
      </c>
      <c r="G21" s="10" t="n">
        <f aca="false">(A21-335)+135.8+(Parametri!$A$5/2)</f>
        <v>89.8</v>
      </c>
      <c r="H21" s="10" t="n">
        <f aca="false">(E21-192)-('Dati (2)'!A21-Parametri!$A$11)+Parametri!$A$2</f>
        <v>899</v>
      </c>
      <c r="I21" s="10" t="n">
        <f aca="false">F21</f>
        <v>0.115470053837925</v>
      </c>
      <c r="J21" s="10" t="n">
        <f aca="false">Parametri!$D$8</f>
        <v>0.115470053837925</v>
      </c>
    </row>
    <row r="22" customFormat="false" ht="17.25" hidden="false" customHeight="true" outlineLevel="0" collapsed="false">
      <c r="A22" s="8" t="n">
        <f aca="false">A21+1</f>
        <v>290</v>
      </c>
      <c r="D22" s="9" t="n">
        <f aca="false">B22+2*E22</f>
        <v>2747</v>
      </c>
      <c r="E22" s="10" t="n">
        <v>1373.5</v>
      </c>
      <c r="F22" s="10" t="n">
        <f aca="false">IF(C22=0, Parametri!$D$8, ABS(B22-C22)/(2*SQRT(3)))</f>
        <v>0.115470053837925</v>
      </c>
      <c r="G22" s="10" t="n">
        <f aca="false">(A22-335)+135.8+(Parametri!$A$5/2)</f>
        <v>90.8</v>
      </c>
      <c r="H22" s="10" t="n">
        <f aca="false">(E22-192)-('Dati (2)'!A22-Parametri!$A$11)+Parametri!$A$2</f>
        <v>891.5</v>
      </c>
      <c r="I22" s="10" t="n">
        <f aca="false">F22</f>
        <v>0.115470053837925</v>
      </c>
      <c r="J22" s="10" t="n">
        <f aca="false">Parametri!$D$8</f>
        <v>0.115470053837925</v>
      </c>
    </row>
    <row r="23" customFormat="false" ht="17.25" hidden="false" customHeight="true" outlineLevel="0" collapsed="false">
      <c r="A23" s="8" t="n">
        <f aca="false">A22+1</f>
        <v>291</v>
      </c>
      <c r="D23" s="9" t="n">
        <f aca="false">B23+2*E23</f>
        <v>2698</v>
      </c>
      <c r="E23" s="10" t="n">
        <v>1349</v>
      </c>
      <c r="F23" s="10" t="n">
        <f aca="false">IF(C23=0, Parametri!$D$8, ABS(B23-C23)/(2*SQRT(3)))</f>
        <v>0.115470053837925</v>
      </c>
      <c r="G23" s="10" t="n">
        <f aca="false">(A23-335)+135.8+(Parametri!$A$5/2)</f>
        <v>91.8</v>
      </c>
      <c r="H23" s="10" t="n">
        <f aca="false">(E23-192)-('Dati (2)'!A23-Parametri!$A$11)+Parametri!$A$2</f>
        <v>866</v>
      </c>
      <c r="I23" s="10" t="n">
        <f aca="false">F23</f>
        <v>0.115470053837925</v>
      </c>
      <c r="J23" s="10" t="n">
        <f aca="false">Parametri!$D$8</f>
        <v>0.115470053837925</v>
      </c>
    </row>
    <row r="24" customFormat="false" ht="17.25" hidden="false" customHeight="true" outlineLevel="0" collapsed="false">
      <c r="A24" s="8" t="n">
        <f aca="false">A23+1</f>
        <v>292</v>
      </c>
      <c r="D24" s="9" t="n">
        <f aca="false">B24+2*E24</f>
        <v>2667</v>
      </c>
      <c r="E24" s="10" t="n">
        <v>1333.5</v>
      </c>
      <c r="F24" s="10" t="n">
        <f aca="false">IF(C24=0, Parametri!$D$8, ABS(B24-C24)/(2*SQRT(3)))</f>
        <v>0.115470053837925</v>
      </c>
      <c r="G24" s="10" t="n">
        <f aca="false">(A24-335)+135.8+(Parametri!$A$5/2)</f>
        <v>92.8</v>
      </c>
      <c r="H24" s="10" t="n">
        <f aca="false">(E24-192)-('Dati (2)'!A24-Parametri!$A$11)+Parametri!$A$2</f>
        <v>849.5</v>
      </c>
      <c r="I24" s="10" t="n">
        <f aca="false">F24</f>
        <v>0.115470053837925</v>
      </c>
      <c r="J24" s="10" t="n">
        <f aca="false">Parametri!$D$8</f>
        <v>0.115470053837925</v>
      </c>
    </row>
    <row r="25" customFormat="false" ht="17.25" hidden="false" customHeight="true" outlineLevel="0" collapsed="false">
      <c r="A25" s="8" t="n">
        <f aca="false">A24+1</f>
        <v>293</v>
      </c>
      <c r="D25" s="9" t="n">
        <f aca="false">B25+2*E25</f>
        <v>2625</v>
      </c>
      <c r="E25" s="10" t="n">
        <v>1312.5</v>
      </c>
      <c r="F25" s="10" t="n">
        <f aca="false">IF(C25=0, Parametri!$D$8, ABS(B25-C25)/(2*SQRT(3)))</f>
        <v>0.115470053837925</v>
      </c>
      <c r="G25" s="10" t="n">
        <f aca="false">(A25-335)+135.8+(Parametri!$A$5/2)</f>
        <v>93.8</v>
      </c>
      <c r="H25" s="10" t="n">
        <f aca="false">(E25-192)-('Dati (2)'!A25-Parametri!$A$11)+Parametri!$A$2</f>
        <v>827.5</v>
      </c>
      <c r="I25" s="10" t="n">
        <f aca="false">F25</f>
        <v>0.115470053837925</v>
      </c>
      <c r="J25" s="10" t="n">
        <f aca="false">Parametri!$D$8</f>
        <v>0.115470053837925</v>
      </c>
    </row>
    <row r="26" customFormat="false" ht="17.25" hidden="false" customHeight="true" outlineLevel="0" collapsed="false">
      <c r="A26" s="8" t="n">
        <f aca="false">A25+1</f>
        <v>294</v>
      </c>
      <c r="D26" s="9" t="n">
        <f aca="false">B26+2*E26</f>
        <v>2608</v>
      </c>
      <c r="E26" s="10" t="n">
        <v>1304</v>
      </c>
      <c r="F26" s="10" t="n">
        <f aca="false">IF(C26=0, Parametri!$D$8, ABS(B26-C26)/(2*SQRT(3)))</f>
        <v>0.115470053837925</v>
      </c>
      <c r="G26" s="10" t="n">
        <f aca="false">(A26-335)+135.8+(Parametri!$A$5/2)</f>
        <v>94.8</v>
      </c>
      <c r="H26" s="10" t="n">
        <f aca="false">(E26-192)-('Dati (2)'!A26-Parametri!$A$11)+Parametri!$A$2</f>
        <v>818</v>
      </c>
      <c r="I26" s="10" t="n">
        <f aca="false">F26</f>
        <v>0.115470053837925</v>
      </c>
      <c r="J26" s="10" t="n">
        <f aca="false">Parametri!$D$8</f>
        <v>0.115470053837925</v>
      </c>
    </row>
    <row r="27" customFormat="false" ht="17.25" hidden="false" customHeight="true" outlineLevel="0" collapsed="false">
      <c r="A27" s="8" t="n">
        <f aca="false">A26+1</f>
        <v>295</v>
      </c>
      <c r="D27" s="9" t="n">
        <f aca="false">B27+2*E27</f>
        <v>2586</v>
      </c>
      <c r="E27" s="10" t="n">
        <v>1293</v>
      </c>
      <c r="F27" s="10" t="n">
        <f aca="false">IF(C27=0, Parametri!$D$8, ABS(B27-C27)/(2*SQRT(3)))</f>
        <v>0.115470053837925</v>
      </c>
      <c r="G27" s="10" t="n">
        <f aca="false">(A27-335)+135.8+(Parametri!$A$5/2)</f>
        <v>95.8</v>
      </c>
      <c r="H27" s="10" t="n">
        <f aca="false">(E27-192)-('Dati (2)'!A27-Parametri!$A$11)+Parametri!$A$2</f>
        <v>806</v>
      </c>
      <c r="I27" s="10" t="n">
        <f aca="false">F27</f>
        <v>0.115470053837925</v>
      </c>
      <c r="J27" s="10" t="n">
        <f aca="false">Parametri!$D$8</f>
        <v>0.115470053837925</v>
      </c>
    </row>
    <row r="28" customFormat="false" ht="17.25" hidden="false" customHeight="true" outlineLevel="0" collapsed="false">
      <c r="A28" s="8" t="n">
        <f aca="false">A27+1</f>
        <v>296</v>
      </c>
      <c r="D28" s="9" t="n">
        <f aca="false">B28+2*E28</f>
        <v>2548</v>
      </c>
      <c r="E28" s="10" t="n">
        <v>1274</v>
      </c>
      <c r="F28" s="10" t="n">
        <f aca="false">IF(C28=0, Parametri!$D$8, ABS(B28-C28)/(2*SQRT(3)))</f>
        <v>0.115470053837925</v>
      </c>
      <c r="G28" s="10" t="n">
        <f aca="false">(A28-335)+135.8+(Parametri!$A$5/2)</f>
        <v>96.8</v>
      </c>
      <c r="H28" s="10" t="n">
        <f aca="false">(E28-192)-('Dati (2)'!A28-Parametri!$A$11)+Parametri!$A$2</f>
        <v>786</v>
      </c>
      <c r="I28" s="10" t="n">
        <f aca="false">F28</f>
        <v>0.115470053837925</v>
      </c>
      <c r="J28" s="10" t="n">
        <f aca="false">Parametri!$D$8</f>
        <v>0.115470053837925</v>
      </c>
    </row>
    <row r="29" customFormat="false" ht="17.25" hidden="false" customHeight="true" outlineLevel="0" collapsed="false">
      <c r="A29" s="8" t="n">
        <f aca="false">A28+1</f>
        <v>297</v>
      </c>
      <c r="D29" s="9" t="n">
        <f aca="false">B29+2*E29</f>
        <v>2520</v>
      </c>
      <c r="E29" s="10" t="n">
        <v>1260</v>
      </c>
      <c r="F29" s="10" t="n">
        <f aca="false">IF(C29=0, Parametri!$D$8, ABS(B29-C29)/(2*SQRT(3)))</f>
        <v>0.115470053837925</v>
      </c>
      <c r="G29" s="10" t="n">
        <f aca="false">(A29-335)+135.8+(Parametri!$A$5/2)</f>
        <v>97.8</v>
      </c>
      <c r="H29" s="10" t="n">
        <f aca="false">(E29-192)-('Dati (2)'!A29-Parametri!$A$11)+Parametri!$A$2</f>
        <v>771</v>
      </c>
      <c r="I29" s="10" t="n">
        <f aca="false">F29</f>
        <v>0.115470053837925</v>
      </c>
      <c r="J29" s="10" t="n">
        <f aca="false">Parametri!$D$8</f>
        <v>0.115470053837925</v>
      </c>
    </row>
    <row r="30" customFormat="false" ht="17.25" hidden="false" customHeight="true" outlineLevel="0" collapsed="false">
      <c r="A30" s="8" t="n">
        <f aca="false">A29+1</f>
        <v>298</v>
      </c>
      <c r="D30" s="9" t="n">
        <f aca="false">B30+2*E30</f>
        <v>2491</v>
      </c>
      <c r="E30" s="10" t="n">
        <v>1245.5</v>
      </c>
      <c r="F30" s="10" t="n">
        <f aca="false">IF(C30=0, Parametri!$D$8, ABS(B30-C30)/(2*SQRT(3)))</f>
        <v>0.115470053837925</v>
      </c>
      <c r="G30" s="10" t="n">
        <f aca="false">(A30-335)+135.8+(Parametri!$A$5/2)</f>
        <v>98.8</v>
      </c>
      <c r="H30" s="10" t="n">
        <f aca="false">(E30-192)-('Dati (2)'!A30-Parametri!$A$11)+Parametri!$A$2</f>
        <v>755.5</v>
      </c>
      <c r="I30" s="10" t="n">
        <f aca="false">F30</f>
        <v>0.115470053837925</v>
      </c>
      <c r="J30" s="10" t="n">
        <f aca="false">Parametri!$D$8</f>
        <v>0.115470053837925</v>
      </c>
    </row>
    <row r="31" customFormat="false" ht="17.25" hidden="false" customHeight="true" outlineLevel="0" collapsed="false">
      <c r="A31" s="8" t="n">
        <f aca="false">A30+1</f>
        <v>299</v>
      </c>
      <c r="D31" s="9" t="n">
        <f aca="false">B31+2*E31</f>
        <v>2464</v>
      </c>
      <c r="E31" s="10" t="n">
        <v>1232</v>
      </c>
      <c r="F31" s="10" t="n">
        <f aca="false">IF(C31=0, Parametri!$D$8, ABS(B31-C31)/(2*SQRT(3)))</f>
        <v>0.115470053837925</v>
      </c>
      <c r="G31" s="10" t="n">
        <f aca="false">(A31-335)+135.8+(Parametri!$A$5/2)</f>
        <v>99.8</v>
      </c>
      <c r="H31" s="10" t="n">
        <f aca="false">(E31-192)-('Dati (2)'!A31-Parametri!$A$11)+Parametri!$A$2</f>
        <v>741</v>
      </c>
      <c r="I31" s="10" t="n">
        <f aca="false">F31</f>
        <v>0.115470053837925</v>
      </c>
      <c r="J31" s="10" t="n">
        <f aca="false">Parametri!$D$8</f>
        <v>0.115470053837925</v>
      </c>
    </row>
    <row r="32" customFormat="false" ht="17.25" hidden="false" customHeight="true" outlineLevel="0" collapsed="false">
      <c r="A32" s="8" t="n">
        <f aca="false">A31+1</f>
        <v>300</v>
      </c>
      <c r="D32" s="9" t="n">
        <f aca="false">B32+2*E32</f>
        <v>2427</v>
      </c>
      <c r="E32" s="10" t="n">
        <v>1213.5</v>
      </c>
      <c r="F32" s="10" t="n">
        <f aca="false">IF(C32=0, Parametri!$D$8, ABS(B32-C32)/(2*SQRT(3)))</f>
        <v>0.115470053837925</v>
      </c>
      <c r="G32" s="10" t="n">
        <f aca="false">(A32-335)+135.8+(Parametri!$A$5/2)</f>
        <v>100.8</v>
      </c>
      <c r="H32" s="10" t="n">
        <f aca="false">(E32-192)-('Dati (2)'!A32-Parametri!$A$11)+Parametri!$A$2</f>
        <v>721.5</v>
      </c>
      <c r="I32" s="10" t="n">
        <f aca="false">F32</f>
        <v>0.115470053837925</v>
      </c>
      <c r="J32" s="10" t="n">
        <f aca="false">Parametri!$D$8</f>
        <v>0.115470053837925</v>
      </c>
    </row>
    <row r="33" customFormat="false" ht="17.25" hidden="false" customHeight="true" outlineLevel="0" collapsed="false">
      <c r="A33" s="8" t="n">
        <f aca="false">A32+1</f>
        <v>301</v>
      </c>
      <c r="D33" s="9" t="n">
        <f aca="false">B33+2*E33</f>
        <v>2419</v>
      </c>
      <c r="E33" s="10" t="n">
        <v>1209.5</v>
      </c>
      <c r="F33" s="10" t="n">
        <f aca="false">IF(C33=0, Parametri!$D$8, ABS(B33-C33)/(2*SQRT(3)))</f>
        <v>0.115470053837925</v>
      </c>
      <c r="G33" s="10" t="n">
        <f aca="false">(A33-335)+135.8+(Parametri!$A$5/2)</f>
        <v>101.8</v>
      </c>
      <c r="H33" s="10" t="n">
        <f aca="false">(E33-192)-('Dati (2)'!A33-Parametri!$A$11)+Parametri!$A$2</f>
        <v>716.5</v>
      </c>
      <c r="I33" s="10" t="n">
        <f aca="false">F33</f>
        <v>0.115470053837925</v>
      </c>
      <c r="J33" s="10" t="n">
        <f aca="false">Parametri!$D$8</f>
        <v>0.115470053837925</v>
      </c>
    </row>
    <row r="34" customFormat="false" ht="17.25" hidden="false" customHeight="true" outlineLevel="0" collapsed="false">
      <c r="A34" s="8" t="n">
        <f aca="false">A33+1</f>
        <v>302</v>
      </c>
      <c r="D34" s="9" t="n">
        <f aca="false">B34+2*E34</f>
        <v>2398</v>
      </c>
      <c r="E34" s="10" t="n">
        <v>1199</v>
      </c>
      <c r="F34" s="10" t="n">
        <f aca="false">IF(C34=0, Parametri!$D$8, ABS(B34-C34)/(2*SQRT(3)))</f>
        <v>0.115470053837925</v>
      </c>
      <c r="G34" s="10" t="n">
        <f aca="false">(A34-335)+135.8+(Parametri!$A$5/2)</f>
        <v>102.8</v>
      </c>
      <c r="H34" s="10" t="n">
        <f aca="false">(E34-192)-('Dati (2)'!A34-Parametri!$A$11)+Parametri!$A$2</f>
        <v>705</v>
      </c>
      <c r="I34" s="10" t="n">
        <f aca="false">F34</f>
        <v>0.115470053837925</v>
      </c>
      <c r="J34" s="10" t="n">
        <f aca="false">Parametri!$D$8</f>
        <v>0.115470053837925</v>
      </c>
    </row>
    <row r="35" customFormat="false" ht="17.25" hidden="false" customHeight="true" outlineLevel="0" collapsed="false">
      <c r="A35" s="8" t="n">
        <f aca="false">A34+1</f>
        <v>303</v>
      </c>
      <c r="D35" s="9" t="n">
        <f aca="false">B35+2*E35</f>
        <v>2376</v>
      </c>
      <c r="E35" s="10" t="n">
        <v>1188</v>
      </c>
      <c r="F35" s="10" t="n">
        <f aca="false">IF(C35=0, Parametri!$D$8, ABS(B35-C35)/(2*SQRT(3)))</f>
        <v>0.115470053837925</v>
      </c>
      <c r="G35" s="10" t="n">
        <f aca="false">(A35-335)+135.8+(Parametri!$A$5/2)</f>
        <v>103.8</v>
      </c>
      <c r="H35" s="10" t="n">
        <f aca="false">(E35-192)-('Dati (2)'!A35-Parametri!$A$11)+Parametri!$A$2</f>
        <v>693</v>
      </c>
      <c r="I35" s="10" t="n">
        <f aca="false">F35</f>
        <v>0.115470053837925</v>
      </c>
      <c r="J35" s="10" t="n">
        <f aca="false">Parametri!$D$8</f>
        <v>0.115470053837925</v>
      </c>
    </row>
    <row r="36" customFormat="false" ht="17.25" hidden="false" customHeight="true" outlineLevel="0" collapsed="false">
      <c r="A36" s="8" t="n">
        <f aca="false">A35+1</f>
        <v>304</v>
      </c>
      <c r="D36" s="9" t="n">
        <f aca="false">B36+2*E36</f>
        <v>2357</v>
      </c>
      <c r="E36" s="10" t="n">
        <v>1178.5</v>
      </c>
      <c r="F36" s="10" t="n">
        <f aca="false">IF(C36=0, Parametri!$D$8, ABS(B36-C36)/(2*SQRT(3)))</f>
        <v>0.115470053837925</v>
      </c>
      <c r="G36" s="10" t="n">
        <f aca="false">(A36-335)+135.8+(Parametri!$A$5/2)</f>
        <v>104.8</v>
      </c>
      <c r="H36" s="10" t="n">
        <f aca="false">(E36-192)-('Dati (2)'!A36-Parametri!$A$11)+Parametri!$A$2</f>
        <v>682.5</v>
      </c>
      <c r="I36" s="10" t="n">
        <f aca="false">F36</f>
        <v>0.115470053837925</v>
      </c>
      <c r="J36" s="10" t="n">
        <f aca="false">Parametri!$D$8</f>
        <v>0.115470053837925</v>
      </c>
    </row>
    <row r="37" customFormat="false" ht="17.25" hidden="false" customHeight="true" outlineLevel="0" collapsed="false">
      <c r="A37" s="8" t="n">
        <f aca="false">A36+1</f>
        <v>305</v>
      </c>
      <c r="D37" s="9" t="n">
        <f aca="false">B37+2*E37</f>
        <v>2333</v>
      </c>
      <c r="E37" s="10" t="n">
        <v>1166.5</v>
      </c>
      <c r="F37" s="10" t="n">
        <f aca="false">IF(C37=0, Parametri!$D$8, ABS(B37-C37)/(2*SQRT(3)))</f>
        <v>0.115470053837925</v>
      </c>
      <c r="G37" s="10" t="n">
        <f aca="false">(A37-335)+135.8+(Parametri!$A$5/2)</f>
        <v>105.8</v>
      </c>
      <c r="H37" s="10" t="n">
        <f aca="false">(E37-192)-('Dati (2)'!A37-Parametri!$A$11)+Parametri!$A$2</f>
        <v>669.5</v>
      </c>
      <c r="I37" s="10" t="n">
        <f aca="false">F37</f>
        <v>0.115470053837925</v>
      </c>
      <c r="J37" s="10" t="n">
        <f aca="false">Parametri!$D$8</f>
        <v>0.115470053837925</v>
      </c>
    </row>
    <row r="38" customFormat="false" ht="17.25" hidden="false" customHeight="true" outlineLevel="0" collapsed="false">
      <c r="A38" s="8" t="n">
        <f aca="false">A37+1</f>
        <v>306</v>
      </c>
      <c r="D38" s="9" t="n">
        <f aca="false">B38+2*E38</f>
        <v>2311</v>
      </c>
      <c r="E38" s="10" t="n">
        <v>1155.5</v>
      </c>
      <c r="F38" s="10" t="n">
        <f aca="false">IF(C38=0, Parametri!$D$8, ABS(B38-C38)/(2*SQRT(3)))</f>
        <v>0.115470053837925</v>
      </c>
      <c r="G38" s="10" t="n">
        <f aca="false">(A38-335)+135.8+(Parametri!$A$5/2)</f>
        <v>106.8</v>
      </c>
      <c r="H38" s="10" t="n">
        <f aca="false">(E38-192)-('Dati (2)'!A38-Parametri!$A$11)+Parametri!$A$2</f>
        <v>657.5</v>
      </c>
      <c r="I38" s="10" t="n">
        <f aca="false">F38</f>
        <v>0.115470053837925</v>
      </c>
      <c r="J38" s="10" t="n">
        <f aca="false">Parametri!$D$8</f>
        <v>0.115470053837925</v>
      </c>
    </row>
    <row r="39" customFormat="false" ht="17.25" hidden="false" customHeight="true" outlineLevel="0" collapsed="false">
      <c r="A39" s="8" t="n">
        <f aca="false">A38+1</f>
        <v>307</v>
      </c>
      <c r="D39" s="9" t="n">
        <f aca="false">B39+2*E39</f>
        <v>2282</v>
      </c>
      <c r="E39" s="10" t="n">
        <v>1141</v>
      </c>
      <c r="F39" s="10" t="n">
        <f aca="false">IF(C39=0, Parametri!$D$8, ABS(B39-C39)/(2*SQRT(3)))</f>
        <v>0.115470053837925</v>
      </c>
      <c r="G39" s="10" t="n">
        <f aca="false">(A39-335)+135.8+(Parametri!$A$5/2)</f>
        <v>107.8</v>
      </c>
      <c r="H39" s="10" t="n">
        <f aca="false">(E39-192)-('Dati (2)'!A39-Parametri!$A$11)+Parametri!$A$2</f>
        <v>642</v>
      </c>
      <c r="I39" s="10" t="n">
        <f aca="false">F39</f>
        <v>0.115470053837925</v>
      </c>
      <c r="J39" s="10" t="n">
        <f aca="false">Parametri!$D$8</f>
        <v>0.115470053837925</v>
      </c>
    </row>
    <row r="40" customFormat="false" ht="17.25" hidden="false" customHeight="true" outlineLevel="0" collapsed="false">
      <c r="A40" s="8" t="n">
        <f aca="false">A39+1</f>
        <v>308</v>
      </c>
      <c r="D40" s="9" t="n">
        <f aca="false">B40+2*E40</f>
        <v>2277</v>
      </c>
      <c r="E40" s="10" t="n">
        <v>1138.5</v>
      </c>
      <c r="F40" s="10" t="n">
        <f aca="false">IF(C40=0, Parametri!$D$8, ABS(B40-C40)/(2*SQRT(3)))</f>
        <v>0.115470053837925</v>
      </c>
      <c r="G40" s="10" t="n">
        <f aca="false">(A40-335)+135.8+(Parametri!$A$5/2)</f>
        <v>108.8</v>
      </c>
      <c r="H40" s="10" t="n">
        <f aca="false">(E40-192)-('Dati (2)'!A40-Parametri!$A$11)+Parametri!$A$2</f>
        <v>638.5</v>
      </c>
      <c r="I40" s="10" t="n">
        <f aca="false">F40</f>
        <v>0.115470053837925</v>
      </c>
      <c r="J40" s="10" t="n">
        <f aca="false">Parametri!$D$8</f>
        <v>0.115470053837925</v>
      </c>
    </row>
    <row r="41" customFormat="false" ht="17.25" hidden="false" customHeight="true" outlineLevel="0" collapsed="false">
      <c r="A41" s="8" t="n">
        <f aca="false">A40+1</f>
        <v>309</v>
      </c>
      <c r="D41" s="9" t="n">
        <f aca="false">B41+2*E41</f>
        <v>2256</v>
      </c>
      <c r="E41" s="10" t="n">
        <v>1128</v>
      </c>
      <c r="F41" s="10" t="n">
        <f aca="false">IF(C41=0, Parametri!$D$8, ABS(B41-C41)/(2*SQRT(3)))</f>
        <v>0.115470053837925</v>
      </c>
      <c r="G41" s="10" t="n">
        <f aca="false">(A41-335)+135.8+(Parametri!$A$5/2)</f>
        <v>109.8</v>
      </c>
      <c r="H41" s="10" t="n">
        <f aca="false">(E41-192)-('Dati (2)'!A41-Parametri!$A$11)+Parametri!$A$2</f>
        <v>627</v>
      </c>
      <c r="I41" s="10" t="n">
        <f aca="false">F41</f>
        <v>0.115470053837925</v>
      </c>
      <c r="J41" s="10" t="n">
        <f aca="false">Parametri!$D$8</f>
        <v>0.115470053837925</v>
      </c>
    </row>
    <row r="42" customFormat="false" ht="17.25" hidden="false" customHeight="true" outlineLevel="0" collapsed="false">
      <c r="A42" s="8" t="n">
        <f aca="false">A41+1</f>
        <v>310</v>
      </c>
      <c r="D42" s="9" t="n">
        <f aca="false">B42+2*E42</f>
        <v>2232</v>
      </c>
      <c r="E42" s="10" t="n">
        <v>1116</v>
      </c>
      <c r="F42" s="10" t="n">
        <f aca="false">IF(C42=0, Parametri!$D$8, ABS(B42-C42)/(2*SQRT(3)))</f>
        <v>0.115470053837925</v>
      </c>
      <c r="G42" s="10" t="n">
        <f aca="false">(A42-335)+135.8+(Parametri!$A$5/2)</f>
        <v>110.8</v>
      </c>
      <c r="H42" s="10" t="n">
        <f aca="false">(E42-192)-('Dati (2)'!A42-Parametri!$A$11)+Parametri!$A$2</f>
        <v>614</v>
      </c>
      <c r="I42" s="10" t="n">
        <f aca="false">F42</f>
        <v>0.115470053837925</v>
      </c>
      <c r="J42" s="10" t="n">
        <f aca="false">Parametri!$D$8</f>
        <v>0.115470053837925</v>
      </c>
    </row>
    <row r="43" customFormat="false" ht="17.25" hidden="false" customHeight="true" outlineLevel="0" collapsed="false">
      <c r="A43" s="8" t="n">
        <f aca="false">A42+1</f>
        <v>311</v>
      </c>
      <c r="D43" s="9" t="n">
        <f aca="false">B43+2*E43</f>
        <v>2220</v>
      </c>
      <c r="E43" s="10" t="n">
        <v>1110</v>
      </c>
      <c r="F43" s="10" t="n">
        <f aca="false">IF(C43=0, Parametri!$D$8, ABS(B43-C43)/(2*SQRT(3)))</f>
        <v>0.115470053837925</v>
      </c>
      <c r="G43" s="10" t="n">
        <f aca="false">(A43-335)+135.8+(Parametri!$A$5/2)</f>
        <v>111.8</v>
      </c>
      <c r="H43" s="10" t="n">
        <f aca="false">(E43-192)-('Dati (2)'!A43-Parametri!$A$11)+Parametri!$A$2</f>
        <v>607</v>
      </c>
      <c r="I43" s="10" t="n">
        <f aca="false">F43</f>
        <v>0.115470053837925</v>
      </c>
      <c r="J43" s="10" t="n">
        <f aca="false">Parametri!$D$8</f>
        <v>0.115470053837925</v>
      </c>
    </row>
    <row r="44" customFormat="false" ht="17.25" hidden="false" customHeight="true" outlineLevel="0" collapsed="false">
      <c r="A44" s="8" t="n">
        <f aca="false">A43+1</f>
        <v>312</v>
      </c>
      <c r="D44" s="9" t="n">
        <f aca="false">B44+2*E44</f>
        <v>2195</v>
      </c>
      <c r="E44" s="10" t="n">
        <v>1097.5</v>
      </c>
      <c r="F44" s="10" t="n">
        <f aca="false">IF(C44=0, Parametri!$D$8, ABS(B44-C44)/(2*SQRT(3)))</f>
        <v>0.115470053837925</v>
      </c>
      <c r="G44" s="10" t="n">
        <f aca="false">(A44-335)+135.8+(Parametri!$A$5/2)</f>
        <v>112.8</v>
      </c>
      <c r="H44" s="10" t="n">
        <f aca="false">(E44-192)-('Dati (2)'!A44-Parametri!$A$11)+Parametri!$A$2</f>
        <v>593.5</v>
      </c>
      <c r="I44" s="10" t="n">
        <f aca="false">F44</f>
        <v>0.115470053837925</v>
      </c>
      <c r="J44" s="10" t="n">
        <f aca="false">Parametri!$D$8</f>
        <v>0.115470053837925</v>
      </c>
    </row>
    <row r="45" customFormat="false" ht="17.25" hidden="false" customHeight="true" outlineLevel="0" collapsed="false">
      <c r="A45" s="8" t="n">
        <f aca="false">A44+1</f>
        <v>313</v>
      </c>
      <c r="D45" s="9" t="n">
        <f aca="false">B45+2*E45</f>
        <v>2185</v>
      </c>
      <c r="E45" s="10" t="n">
        <v>1092.5</v>
      </c>
      <c r="F45" s="10" t="n">
        <f aca="false">IF(C45=0, Parametri!$D$8, ABS(B45-C45)/(2*SQRT(3)))</f>
        <v>0.115470053837925</v>
      </c>
      <c r="G45" s="10" t="n">
        <f aca="false">(A45-335)+135.8+(Parametri!$A$5/2)</f>
        <v>113.8</v>
      </c>
      <c r="H45" s="10" t="n">
        <f aca="false">(E45-192)-('Dati (2)'!A45-Parametri!$A$11)+Parametri!$A$2</f>
        <v>587.5</v>
      </c>
      <c r="I45" s="10" t="n">
        <f aca="false">F45</f>
        <v>0.115470053837925</v>
      </c>
      <c r="J45" s="10" t="n">
        <f aca="false">Parametri!$D$8</f>
        <v>0.115470053837925</v>
      </c>
    </row>
    <row r="46" customFormat="false" ht="17.25" hidden="false" customHeight="true" outlineLevel="0" collapsed="false">
      <c r="A46" s="8" t="n">
        <f aca="false">A45+1</f>
        <v>314</v>
      </c>
      <c r="D46" s="9" t="n">
        <f aca="false">B46+2*E46</f>
        <v>2173</v>
      </c>
      <c r="E46" s="10" t="n">
        <v>1086.5</v>
      </c>
      <c r="F46" s="10" t="n">
        <f aca="false">IF(C46=0, Parametri!$D$8, ABS(B46-C46)/(2*SQRT(3)))</f>
        <v>0.115470053837925</v>
      </c>
      <c r="G46" s="10" t="n">
        <f aca="false">(A46-335)+135.8+(Parametri!$A$5/2)</f>
        <v>114.8</v>
      </c>
      <c r="H46" s="10" t="n">
        <f aca="false">(E46-192)-('Dati (2)'!A46-Parametri!$A$11)+Parametri!$A$2</f>
        <v>580.5</v>
      </c>
      <c r="I46" s="10" t="n">
        <f aca="false">F46</f>
        <v>0.115470053837925</v>
      </c>
      <c r="J46" s="10" t="n">
        <f aca="false">Parametri!$D$8</f>
        <v>0.115470053837925</v>
      </c>
    </row>
    <row r="47" customFormat="false" ht="17.25" hidden="false" customHeight="true" outlineLevel="0" collapsed="false">
      <c r="A47" s="8" t="n">
        <f aca="false">A46+1</f>
        <v>315</v>
      </c>
      <c r="D47" s="9" t="n">
        <f aca="false">B47+2*E47</f>
        <v>2150</v>
      </c>
      <c r="E47" s="10" t="n">
        <v>1075</v>
      </c>
      <c r="F47" s="10" t="n">
        <f aca="false">IF(C47=0, Parametri!$D$8, ABS(B47-C47)/(2*SQRT(3)))</f>
        <v>0.115470053837925</v>
      </c>
      <c r="G47" s="10" t="n">
        <f aca="false">(A47-335)+135.8+(Parametri!$A$5/2)</f>
        <v>115.8</v>
      </c>
      <c r="H47" s="10" t="n">
        <f aca="false">(E47-192)-('Dati (2)'!A47-Parametri!$A$11)+Parametri!$A$2</f>
        <v>568</v>
      </c>
      <c r="I47" s="10" t="n">
        <f aca="false">F47</f>
        <v>0.115470053837925</v>
      </c>
      <c r="J47" s="10" t="n">
        <f aca="false">Parametri!$D$8</f>
        <v>0.115470053837925</v>
      </c>
    </row>
    <row r="48" customFormat="false" ht="17.25" hidden="false" customHeight="true" outlineLevel="0" collapsed="false">
      <c r="A48" s="8" t="n">
        <f aca="false">A47+2</f>
        <v>317</v>
      </c>
      <c r="D48" s="9" t="n">
        <f aca="false">B48+2*E48</f>
        <v>2126</v>
      </c>
      <c r="E48" s="10" t="n">
        <v>1063</v>
      </c>
      <c r="F48" s="10" t="n">
        <f aca="false">IF(C48=0, Parametri!$D$8, ABS(B48-C48)/(2*SQRT(3)))</f>
        <v>0.115470053837925</v>
      </c>
      <c r="G48" s="10" t="n">
        <f aca="false">(A48-335)+135.8+(Parametri!$A$5/2)</f>
        <v>117.8</v>
      </c>
      <c r="H48" s="10" t="n">
        <f aca="false">(E48-192)-('Dati (2)'!A48-Parametri!$A$11)+Parametri!$A$2</f>
        <v>554</v>
      </c>
      <c r="I48" s="10" t="n">
        <f aca="false">F48</f>
        <v>0.115470053837925</v>
      </c>
      <c r="J48" s="10" t="n">
        <f aca="false">Parametri!$D$8</f>
        <v>0.115470053837925</v>
      </c>
    </row>
    <row r="49" customFormat="false" ht="17.25" hidden="false" customHeight="true" outlineLevel="0" collapsed="false">
      <c r="A49" s="8" t="n">
        <f aca="false">A48+2</f>
        <v>319</v>
      </c>
      <c r="D49" s="9" t="n">
        <f aca="false">B49+2*E49</f>
        <v>2085</v>
      </c>
      <c r="E49" s="10" t="n">
        <v>1042.5</v>
      </c>
      <c r="F49" s="10" t="n">
        <f aca="false">IF(C49=0, Parametri!$D$8, ABS(B49-C49)/(2*SQRT(3)))</f>
        <v>0.115470053837925</v>
      </c>
      <c r="G49" s="10" t="n">
        <f aca="false">(A49-335)+135.8+(Parametri!$A$5/2)</f>
        <v>119.8</v>
      </c>
      <c r="H49" s="10" t="n">
        <f aca="false">(E49-192)-('Dati (2)'!A49-Parametri!$A$11)+Parametri!$A$2</f>
        <v>531.5</v>
      </c>
      <c r="I49" s="10" t="n">
        <f aca="false">F49</f>
        <v>0.115470053837925</v>
      </c>
      <c r="J49" s="10" t="n">
        <f aca="false">Parametri!$D$8</f>
        <v>0.115470053837925</v>
      </c>
    </row>
    <row r="50" customFormat="false" ht="17.25" hidden="false" customHeight="true" outlineLevel="0" collapsed="false">
      <c r="A50" s="8" t="n">
        <f aca="false">A49+2</f>
        <v>321</v>
      </c>
      <c r="D50" s="9" t="n">
        <f aca="false">B50+2*E50</f>
        <v>2068</v>
      </c>
      <c r="E50" s="10" t="n">
        <v>1034</v>
      </c>
      <c r="F50" s="10" t="n">
        <f aca="false">IF(C50=0, Parametri!$D$8, ABS(B50-C50)/(2*SQRT(3)))</f>
        <v>0.115470053837925</v>
      </c>
      <c r="G50" s="10" t="n">
        <f aca="false">(A50-335)+135.8+(Parametri!$A$5/2)</f>
        <v>121.8</v>
      </c>
      <c r="H50" s="10" t="n">
        <f aca="false">(E50-192)-('Dati (2)'!A50-Parametri!$A$11)+Parametri!$A$2</f>
        <v>521</v>
      </c>
      <c r="I50" s="10" t="n">
        <f aca="false">F50</f>
        <v>0.115470053837925</v>
      </c>
      <c r="J50" s="10" t="n">
        <f aca="false">Parametri!$D$8</f>
        <v>0.115470053837925</v>
      </c>
    </row>
    <row r="51" customFormat="false" ht="17.25" hidden="false" customHeight="true" outlineLevel="0" collapsed="false">
      <c r="A51" s="8" t="n">
        <f aca="false">A50+2</f>
        <v>323</v>
      </c>
      <c r="D51" s="9" t="n">
        <f aca="false">B51+2*E51</f>
        <v>2055</v>
      </c>
      <c r="E51" s="10" t="n">
        <v>1027.5</v>
      </c>
      <c r="F51" s="10" t="n">
        <f aca="false">IF(C51=0, Parametri!$D$8, ABS(B51-C51)/(2*SQRT(3)))</f>
        <v>0.115470053837925</v>
      </c>
      <c r="G51" s="10" t="n">
        <f aca="false">(A51-335)+135.8+(Parametri!$A$5/2)</f>
        <v>123.8</v>
      </c>
      <c r="H51" s="10" t="n">
        <f aca="false">(E51-192)-('Dati (2)'!A51-Parametri!$A$11)+Parametri!$A$2</f>
        <v>512.5</v>
      </c>
      <c r="I51" s="10" t="n">
        <f aca="false">F51</f>
        <v>0.115470053837925</v>
      </c>
      <c r="J51" s="10" t="n">
        <f aca="false">Parametri!$D$8</f>
        <v>0.115470053837925</v>
      </c>
    </row>
    <row r="52" customFormat="false" ht="17.25" hidden="false" customHeight="true" outlineLevel="0" collapsed="false">
      <c r="A52" s="8" t="n">
        <f aca="false">A51+2</f>
        <v>325</v>
      </c>
      <c r="D52" s="9" t="n">
        <f aca="false">B52+2*E52</f>
        <v>2020</v>
      </c>
      <c r="E52" s="10" t="n">
        <v>1010</v>
      </c>
      <c r="F52" s="10" t="n">
        <f aca="false">IF(C52=0, Parametri!$D$8, ABS(B52-C52)/(2*SQRT(3)))</f>
        <v>0.115470053837925</v>
      </c>
      <c r="G52" s="10" t="n">
        <f aca="false">(A52-335)+135.8+(Parametri!$A$5/2)</f>
        <v>125.8</v>
      </c>
      <c r="H52" s="10" t="n">
        <f aca="false">(E52-192)-('Dati (2)'!A52-Parametri!$A$11)+Parametri!$A$2</f>
        <v>493</v>
      </c>
      <c r="I52" s="10" t="n">
        <f aca="false">F52</f>
        <v>0.115470053837925</v>
      </c>
      <c r="J52" s="10" t="n">
        <f aca="false">Parametri!$D$8</f>
        <v>0.115470053837925</v>
      </c>
    </row>
    <row r="53" customFormat="false" ht="17.25" hidden="false" customHeight="true" outlineLevel="0" collapsed="false">
      <c r="A53" s="8" t="n">
        <f aca="false">A52+2</f>
        <v>327</v>
      </c>
      <c r="D53" s="9" t="n">
        <f aca="false">B53+2*E53</f>
        <v>1999</v>
      </c>
      <c r="E53" s="10" t="n">
        <v>999.5</v>
      </c>
      <c r="F53" s="10" t="n">
        <f aca="false">IF(C53=0, Parametri!$D$8, ABS(B53-C53)/(2*SQRT(3)))</f>
        <v>0.115470053837925</v>
      </c>
      <c r="G53" s="10" t="n">
        <f aca="false">(A53-335)+135.8+(Parametri!$A$5/2)</f>
        <v>127.8</v>
      </c>
      <c r="H53" s="10" t="n">
        <f aca="false">(E53-192)-('Dati (2)'!A53-Parametri!$A$11)+Parametri!$A$2</f>
        <v>480.5</v>
      </c>
      <c r="I53" s="10" t="n">
        <f aca="false">F53</f>
        <v>0.115470053837925</v>
      </c>
      <c r="J53" s="10" t="n">
        <f aca="false">Parametri!$D$8</f>
        <v>0.115470053837925</v>
      </c>
    </row>
    <row r="54" customFormat="false" ht="17.25" hidden="false" customHeight="true" outlineLevel="0" collapsed="false">
      <c r="A54" s="8" t="n">
        <f aca="false">A53+2</f>
        <v>329</v>
      </c>
      <c r="D54" s="9" t="n">
        <f aca="false">B54+2*E54</f>
        <v>1975</v>
      </c>
      <c r="E54" s="10" t="n">
        <v>987.5</v>
      </c>
      <c r="F54" s="10" t="n">
        <f aca="false">IF(C54=0, Parametri!$D$8, ABS(B54-C54)/(2*SQRT(3)))</f>
        <v>0.115470053837925</v>
      </c>
      <c r="G54" s="10" t="n">
        <f aca="false">(A54-335)+135.8+(Parametri!$A$5/2)</f>
        <v>129.8</v>
      </c>
      <c r="H54" s="10" t="n">
        <f aca="false">(E54-192)-('Dati (2)'!A54-Parametri!$A$11)+Parametri!$A$2</f>
        <v>466.5</v>
      </c>
      <c r="I54" s="10" t="n">
        <f aca="false">F54</f>
        <v>0.115470053837925</v>
      </c>
      <c r="J54" s="10" t="n">
        <f aca="false">Parametri!$D$8</f>
        <v>0.115470053837925</v>
      </c>
    </row>
    <row r="55" customFormat="false" ht="17.25" hidden="false" customHeight="true" outlineLevel="0" collapsed="false">
      <c r="A55" s="8" t="n">
        <f aca="false">A54+2</f>
        <v>331</v>
      </c>
      <c r="D55" s="9" t="n">
        <f aca="false">B55+2*E55</f>
        <v>1961</v>
      </c>
      <c r="E55" s="10" t="n">
        <v>980.5</v>
      </c>
      <c r="F55" s="10" t="n">
        <f aca="false">IF(C55=0, Parametri!$D$8, ABS(B55-C55)/(2*SQRT(3)))</f>
        <v>0.115470053837925</v>
      </c>
      <c r="G55" s="10" t="n">
        <f aca="false">(A55-335)+135.8+(Parametri!$A$5/2)</f>
        <v>131.8</v>
      </c>
      <c r="H55" s="10" t="n">
        <f aca="false">(E55-192)-('Dati (2)'!A55-Parametri!$A$11)+Parametri!$A$2</f>
        <v>457.5</v>
      </c>
      <c r="I55" s="10" t="n">
        <f aca="false">F55</f>
        <v>0.115470053837925</v>
      </c>
      <c r="J55" s="10" t="n">
        <f aca="false">Parametri!$D$8</f>
        <v>0.115470053837925</v>
      </c>
    </row>
    <row r="56" customFormat="false" ht="17.25" hidden="false" customHeight="true" outlineLevel="0" collapsed="false">
      <c r="A56" s="8" t="n">
        <f aca="false">A55+2</f>
        <v>333</v>
      </c>
      <c r="D56" s="9" t="n">
        <f aca="false">B56+2*E56</f>
        <v>1940</v>
      </c>
      <c r="E56" s="10" t="n">
        <v>970</v>
      </c>
      <c r="F56" s="10" t="n">
        <f aca="false">IF(C56=0, Parametri!$D$8, ABS(B56-C56)/(2*SQRT(3)))</f>
        <v>0.115470053837925</v>
      </c>
      <c r="G56" s="10" t="n">
        <f aca="false">(A56-335)+135.8+(Parametri!$A$5/2)</f>
        <v>133.8</v>
      </c>
      <c r="H56" s="10" t="n">
        <f aca="false">(E56-192)-('Dati (2)'!A56-Parametri!$A$11)+Parametri!$A$2</f>
        <v>445</v>
      </c>
      <c r="I56" s="10" t="n">
        <f aca="false">F56</f>
        <v>0.115470053837925</v>
      </c>
      <c r="J56" s="10" t="n">
        <f aca="false">Parametri!$D$8</f>
        <v>0.115470053837925</v>
      </c>
    </row>
    <row r="57" customFormat="false" ht="17.25" hidden="false" customHeight="true" outlineLevel="0" collapsed="false">
      <c r="A57" s="8" t="n">
        <f aca="false">A56+2</f>
        <v>335</v>
      </c>
      <c r="D57" s="9" t="n">
        <f aca="false">B57+2*E57</f>
        <v>1910</v>
      </c>
      <c r="E57" s="10" t="n">
        <v>955</v>
      </c>
      <c r="F57" s="10" t="n">
        <f aca="false">IF(C57=0, Parametri!$D$8, ABS(B57-C57)/(2*SQRT(3)))</f>
        <v>0.115470053837925</v>
      </c>
      <c r="G57" s="10" t="n">
        <f aca="false">(A57-335)+135.8+(Parametri!$A$5/2)</f>
        <v>135.8</v>
      </c>
      <c r="H57" s="10" t="n">
        <f aca="false">(E57-192)-('Dati (2)'!A57-Parametri!$A$11)+Parametri!$A$2</f>
        <v>428</v>
      </c>
      <c r="I57" s="10" t="n">
        <f aca="false">F57</f>
        <v>0.115470053837925</v>
      </c>
      <c r="J57" s="10" t="n">
        <f aca="false">Parametri!$D$8</f>
        <v>0.115470053837925</v>
      </c>
    </row>
    <row r="58" customFormat="false" ht="17.25" hidden="false" customHeight="true" outlineLevel="0" collapsed="false">
      <c r="A58" s="8" t="n">
        <f aca="false">A57+2</f>
        <v>337</v>
      </c>
      <c r="D58" s="9" t="n">
        <f aca="false">B58+2*E58</f>
        <v>1891</v>
      </c>
      <c r="E58" s="10" t="n">
        <v>945.5</v>
      </c>
      <c r="F58" s="10" t="n">
        <f aca="false">IF(C58=0, Parametri!$D$8, ABS(B58-C58)/(2*SQRT(3)))</f>
        <v>0.115470053837925</v>
      </c>
      <c r="G58" s="10" t="n">
        <f aca="false">(A58-335)+135.8+(Parametri!$A$5/2)</f>
        <v>137.8</v>
      </c>
      <c r="H58" s="10" t="n">
        <f aca="false">(E58-192)-('Dati (2)'!A58-Parametri!$A$11)+Parametri!$A$2</f>
        <v>416.5</v>
      </c>
      <c r="I58" s="10" t="n">
        <f aca="false">F58</f>
        <v>0.115470053837925</v>
      </c>
      <c r="J58" s="10" t="n">
        <f aca="false">Parametri!$D$8</f>
        <v>0.115470053837925</v>
      </c>
    </row>
    <row r="59" customFormat="false" ht="17.25" hidden="false" customHeight="true" outlineLevel="0" collapsed="false">
      <c r="A59" s="8" t="n">
        <f aca="false">A58+2</f>
        <v>339</v>
      </c>
      <c r="D59" s="9" t="n">
        <f aca="false">B59+2*E59</f>
        <v>1887</v>
      </c>
      <c r="E59" s="10" t="n">
        <v>943.5</v>
      </c>
      <c r="F59" s="10" t="n">
        <f aca="false">IF(C59=0, Parametri!$D$8, ABS(B59-C59)/(2*SQRT(3)))</f>
        <v>0.115470053837925</v>
      </c>
      <c r="G59" s="10" t="n">
        <f aca="false">(A59-335)+135.8+(Parametri!$A$5/2)</f>
        <v>139.8</v>
      </c>
      <c r="H59" s="10" t="n">
        <f aca="false">(E59-192)-('Dati (2)'!A59-Parametri!$A$11)+Parametri!$A$2</f>
        <v>412.5</v>
      </c>
      <c r="I59" s="10" t="n">
        <f aca="false">F59</f>
        <v>0.115470053837925</v>
      </c>
      <c r="J59" s="10" t="n">
        <f aca="false">Parametri!$D$8</f>
        <v>0.115470053837925</v>
      </c>
    </row>
    <row r="60" customFormat="false" ht="17.25" hidden="false" customHeight="true" outlineLevel="0" collapsed="false">
      <c r="A60" s="8" t="n">
        <f aca="false">A59+2</f>
        <v>341</v>
      </c>
      <c r="D60" s="9" t="n">
        <f aca="false">B60+2*E60</f>
        <v>1867</v>
      </c>
      <c r="E60" s="10" t="n">
        <v>933.5</v>
      </c>
      <c r="F60" s="10" t="n">
        <f aca="false">IF(C60=0, Parametri!$D$8, ABS(B60-C60)/(2*SQRT(3)))</f>
        <v>0.115470053837925</v>
      </c>
      <c r="G60" s="10" t="n">
        <f aca="false">(A60-335)+135.8+(Parametri!$A$5/2)</f>
        <v>141.8</v>
      </c>
      <c r="H60" s="10" t="n">
        <f aca="false">(E60-192)-('Dati (2)'!A60-Parametri!$A$11)+Parametri!$A$2</f>
        <v>400.5</v>
      </c>
      <c r="I60" s="10" t="n">
        <f aca="false">F60</f>
        <v>0.115470053837925</v>
      </c>
      <c r="J60" s="10" t="n">
        <f aca="false">Parametri!$D$8</f>
        <v>0.115470053837925</v>
      </c>
    </row>
    <row r="61" customFormat="false" ht="17.25" hidden="false" customHeight="true" outlineLevel="0" collapsed="false">
      <c r="A61" s="8" t="n">
        <f aca="false">A60+2</f>
        <v>343</v>
      </c>
      <c r="D61" s="9" t="n">
        <f aca="false">B61+2*E61</f>
        <v>1862</v>
      </c>
      <c r="E61" s="10" t="n">
        <v>931</v>
      </c>
      <c r="F61" s="10" t="n">
        <f aca="false">IF(C61=0, Parametri!$D$8, ABS(B61-C61)/(2*SQRT(3)))</f>
        <v>0.115470053837925</v>
      </c>
      <c r="G61" s="10" t="n">
        <f aca="false">(A61-335)+135.8+(Parametri!$A$5/2)</f>
        <v>143.8</v>
      </c>
      <c r="H61" s="10" t="n">
        <f aca="false">(E61-192)-('Dati (2)'!A61-Parametri!$A$11)+Parametri!$A$2</f>
        <v>396</v>
      </c>
      <c r="I61" s="10" t="n">
        <f aca="false">F61</f>
        <v>0.115470053837925</v>
      </c>
      <c r="J61" s="10" t="n">
        <f aca="false">Parametri!$D$8</f>
        <v>0.115470053837925</v>
      </c>
    </row>
    <row r="62" customFormat="false" ht="17.25" hidden="false" customHeight="true" outlineLevel="0" collapsed="false">
      <c r="A62" s="8" t="n">
        <f aca="false">A61+2</f>
        <v>345</v>
      </c>
      <c r="D62" s="9" t="n">
        <f aca="false">B62+2*E62</f>
        <v>1846</v>
      </c>
      <c r="E62" s="10" t="n">
        <v>923</v>
      </c>
      <c r="F62" s="10" t="n">
        <f aca="false">IF(C62=0, Parametri!$D$8, ABS(B62-C62)/(2*SQRT(3)))</f>
        <v>0.115470053837925</v>
      </c>
      <c r="G62" s="10" t="n">
        <f aca="false">(A62-335)+135.8+(Parametri!$A$5/2)</f>
        <v>145.8</v>
      </c>
      <c r="H62" s="10" t="n">
        <f aca="false">(E62-192)-('Dati (2)'!A62-Parametri!$A$11)+Parametri!$A$2</f>
        <v>386</v>
      </c>
      <c r="I62" s="10" t="n">
        <f aca="false">F62</f>
        <v>0.115470053837925</v>
      </c>
      <c r="J62" s="10" t="n">
        <f aca="false">Parametri!$D$8</f>
        <v>0.115470053837925</v>
      </c>
    </row>
    <row r="63" customFormat="false" ht="17.25" hidden="false" customHeight="true" outlineLevel="0" collapsed="false">
      <c r="A63" s="8" t="n">
        <f aca="false">A62+2</f>
        <v>347</v>
      </c>
      <c r="D63" s="9" t="n">
        <f aca="false">B63+2*E63</f>
        <v>1840</v>
      </c>
      <c r="E63" s="10" t="n">
        <v>920</v>
      </c>
      <c r="F63" s="10" t="n">
        <f aca="false">IF(C63=0, Parametri!$D$8, ABS(B63-C63)/(2*SQRT(3)))</f>
        <v>0.115470053837925</v>
      </c>
      <c r="G63" s="10" t="n">
        <f aca="false">(A63-335)+135.8+(Parametri!$A$5/2)</f>
        <v>147.8</v>
      </c>
      <c r="H63" s="10" t="n">
        <f aca="false">(E63-192)-('Dati (2)'!A63-Parametri!$A$11)+Parametri!$A$2</f>
        <v>381</v>
      </c>
      <c r="I63" s="10" t="n">
        <f aca="false">F63</f>
        <v>0.115470053837925</v>
      </c>
      <c r="J63" s="10" t="n">
        <f aca="false">Parametri!$D$8</f>
        <v>0.115470053837925</v>
      </c>
    </row>
    <row r="64" customFormat="false" ht="17.25" hidden="false" customHeight="true" outlineLevel="0" collapsed="false">
      <c r="A64" s="8" t="n">
        <f aca="false">A63+2</f>
        <v>349</v>
      </c>
      <c r="D64" s="9" t="n">
        <f aca="false">B64+2*E64</f>
        <v>1824</v>
      </c>
      <c r="E64" s="10" t="n">
        <v>912</v>
      </c>
      <c r="F64" s="10" t="n">
        <f aca="false">IF(C64=0, Parametri!$D$8, ABS(B64-C64)/(2*SQRT(3)))</f>
        <v>0.115470053837925</v>
      </c>
      <c r="G64" s="10" t="n">
        <f aca="false">(A64-335)+135.8+(Parametri!$A$5/2)</f>
        <v>149.8</v>
      </c>
      <c r="H64" s="10" t="n">
        <f aca="false">(E64-192)-('Dati (2)'!A64-Parametri!$A$11)+Parametri!$A$2</f>
        <v>371</v>
      </c>
      <c r="I64" s="10" t="n">
        <f aca="false">F64</f>
        <v>0.115470053837925</v>
      </c>
      <c r="J64" s="10" t="n">
        <f aca="false">Parametri!$D$8</f>
        <v>0.115470053837925</v>
      </c>
    </row>
    <row r="65" customFormat="false" ht="17.25" hidden="false" customHeight="true" outlineLevel="0" collapsed="false">
      <c r="A65" s="8" t="n">
        <f aca="false">A64+2</f>
        <v>351</v>
      </c>
      <c r="D65" s="9" t="n">
        <f aca="false">B65+2*E65</f>
        <v>1812</v>
      </c>
      <c r="E65" s="10" t="n">
        <v>906</v>
      </c>
      <c r="F65" s="10" t="n">
        <f aca="false">IF(C65=0, Parametri!$D$8, ABS(B65-C65)/(2*SQRT(3)))</f>
        <v>0.115470053837925</v>
      </c>
      <c r="G65" s="10" t="n">
        <f aca="false">(A65-335)+135.8+(Parametri!$A$5/2)</f>
        <v>151.8</v>
      </c>
      <c r="H65" s="10" t="n">
        <f aca="false">(E65-192)-('Dati (2)'!A65-Parametri!$A$11)+Parametri!$A$2</f>
        <v>363</v>
      </c>
      <c r="I65" s="10" t="n">
        <f aca="false">F65</f>
        <v>0.115470053837925</v>
      </c>
      <c r="J65" s="10" t="n">
        <f aca="false">Parametri!$D$8</f>
        <v>0.115470053837925</v>
      </c>
    </row>
    <row r="66" customFormat="false" ht="17.25" hidden="false" customHeight="true" outlineLevel="0" collapsed="false">
      <c r="A66" s="8" t="n">
        <f aca="false">A65+3</f>
        <v>354</v>
      </c>
      <c r="D66" s="9" t="n">
        <f aca="false">B66+2*E66</f>
        <v>1806</v>
      </c>
      <c r="E66" s="10" t="n">
        <v>903</v>
      </c>
      <c r="F66" s="10" t="n">
        <f aca="false">IF(C66=0, Parametri!$D$8, ABS(B66-C66)/(2*SQRT(3)))</f>
        <v>0.115470053837925</v>
      </c>
      <c r="G66" s="10" t="n">
        <f aca="false">(A66-335)+135.8+(Parametri!$A$5/2)</f>
        <v>154.8</v>
      </c>
      <c r="H66" s="10" t="n">
        <f aca="false">(E66-192)-('Dati (2)'!A66-Parametri!$A$11)+Parametri!$A$2</f>
        <v>357</v>
      </c>
      <c r="I66" s="10" t="n">
        <f aca="false">F66</f>
        <v>0.115470053837925</v>
      </c>
      <c r="J66" s="10" t="n">
        <f aca="false">Parametri!$D$8</f>
        <v>0.115470053837925</v>
      </c>
    </row>
    <row r="67" customFormat="false" ht="17.25" hidden="false" customHeight="true" outlineLevel="0" collapsed="false">
      <c r="A67" s="8" t="n">
        <f aca="false">A66+3</f>
        <v>357</v>
      </c>
      <c r="D67" s="9" t="n">
        <f aca="false">B67+2*E67</f>
        <v>1782</v>
      </c>
      <c r="E67" s="10" t="n">
        <v>891</v>
      </c>
      <c r="F67" s="10" t="n">
        <f aca="false">IF(C67=0, Parametri!$D$8, ABS(B67-C67)/(2*SQRT(3)))</f>
        <v>0.115470053837925</v>
      </c>
      <c r="G67" s="10" t="n">
        <f aca="false">(A67-335)+135.8+(Parametri!$A$5/2)</f>
        <v>157.8</v>
      </c>
      <c r="H67" s="10" t="n">
        <f aca="false">(E67-192)-('Dati (2)'!A67-Parametri!$A$11)+Parametri!$A$2</f>
        <v>342</v>
      </c>
      <c r="I67" s="10" t="n">
        <f aca="false">F67</f>
        <v>0.115470053837925</v>
      </c>
      <c r="J67" s="10" t="n">
        <f aca="false">Parametri!$D$8</f>
        <v>0.115470053837925</v>
      </c>
    </row>
    <row r="68" customFormat="false" ht="17.25" hidden="false" customHeight="true" outlineLevel="0" collapsed="false">
      <c r="A68" s="8" t="n">
        <f aca="false">A67+3</f>
        <v>360</v>
      </c>
      <c r="D68" s="9" t="n">
        <f aca="false">B68+2*E68</f>
        <v>1777</v>
      </c>
      <c r="E68" s="10" t="n">
        <v>888.5</v>
      </c>
      <c r="F68" s="10" t="n">
        <f aca="false">IF(C68=0, Parametri!$D$8, ABS(B68-C68)/(2*SQRT(3)))</f>
        <v>0.115470053837925</v>
      </c>
      <c r="G68" s="10" t="n">
        <f aca="false">(A68-335)+135.8+(Parametri!$A$5/2)</f>
        <v>160.8</v>
      </c>
      <c r="H68" s="10" t="n">
        <f aca="false">(E68-192)-('Dati (2)'!A68-Parametri!$A$11)+Parametri!$A$2</f>
        <v>336.5</v>
      </c>
      <c r="I68" s="10" t="n">
        <f aca="false">F68</f>
        <v>0.115470053837925</v>
      </c>
      <c r="J68" s="10" t="n">
        <f aca="false">Parametri!$D$8</f>
        <v>0.115470053837925</v>
      </c>
    </row>
    <row r="69" customFormat="false" ht="17.25" hidden="false" customHeight="true" outlineLevel="0" collapsed="false">
      <c r="A69" s="8" t="n">
        <f aca="false">A68+3</f>
        <v>363</v>
      </c>
      <c r="D69" s="9" t="n">
        <f aca="false">B69+2*E69</f>
        <v>1780</v>
      </c>
      <c r="E69" s="10" t="n">
        <v>890</v>
      </c>
      <c r="F69" s="10" t="n">
        <f aca="false">IF(C69=0, Parametri!$D$8, ABS(B69-C69)/(2*SQRT(3)))</f>
        <v>0.115470053837925</v>
      </c>
      <c r="G69" s="10" t="n">
        <f aca="false">(A69-335)+135.8+(Parametri!$A$5/2)</f>
        <v>163.8</v>
      </c>
      <c r="H69" s="10" t="n">
        <f aca="false">(E69-192)-('Dati (2)'!A69-Parametri!$A$11)+Parametri!$A$2</f>
        <v>335</v>
      </c>
      <c r="I69" s="10" t="n">
        <f aca="false">F69</f>
        <v>0.115470053837925</v>
      </c>
      <c r="J69" s="10" t="n">
        <f aca="false">Parametri!$D$8</f>
        <v>0.115470053837925</v>
      </c>
    </row>
    <row r="70" customFormat="false" ht="17.25" hidden="false" customHeight="true" outlineLevel="0" collapsed="false">
      <c r="A70" s="8" t="n">
        <f aca="false">A69+3</f>
        <v>366</v>
      </c>
      <c r="D70" s="9" t="n">
        <f aca="false">B70+2*E70</f>
        <v>1752</v>
      </c>
      <c r="E70" s="10" t="n">
        <v>876</v>
      </c>
      <c r="F70" s="10" t="n">
        <f aca="false">IF(C70=0, Parametri!$D$8, ABS(B70-C70)/(2*SQRT(3)))</f>
        <v>0.115470053837925</v>
      </c>
      <c r="G70" s="10" t="n">
        <f aca="false">(A70-335)+135.8+(Parametri!$A$5/2)</f>
        <v>166.8</v>
      </c>
      <c r="H70" s="10" t="n">
        <f aca="false">(E70-192)-('Dati (2)'!A70-Parametri!$A$11)+Parametri!$A$2</f>
        <v>318</v>
      </c>
      <c r="I70" s="10" t="n">
        <f aca="false">F70</f>
        <v>0.115470053837925</v>
      </c>
      <c r="J70" s="10" t="n">
        <f aca="false">Parametri!$D$8</f>
        <v>0.115470053837925</v>
      </c>
    </row>
    <row r="71" customFormat="false" ht="17.25" hidden="false" customHeight="true" outlineLevel="0" collapsed="false">
      <c r="A71" s="8" t="n">
        <f aca="false">A70+3</f>
        <v>369</v>
      </c>
      <c r="D71" s="9" t="n">
        <f aca="false">B71+2*E71</f>
        <v>1744</v>
      </c>
      <c r="E71" s="10" t="n">
        <v>872</v>
      </c>
      <c r="F71" s="10" t="n">
        <f aca="false">IF(C71=0, Parametri!$D$8, ABS(B71-C71)/(2*SQRT(3)))</f>
        <v>0.115470053837925</v>
      </c>
      <c r="G71" s="10" t="n">
        <f aca="false">(A71-335)+135.8+(Parametri!$A$5/2)</f>
        <v>169.8</v>
      </c>
      <c r="H71" s="10" t="n">
        <f aca="false">(E71-192)-('Dati (2)'!A71-Parametri!$A$11)+Parametri!$A$2</f>
        <v>311</v>
      </c>
      <c r="I71" s="10" t="n">
        <f aca="false">F71</f>
        <v>0.115470053837925</v>
      </c>
      <c r="J71" s="10" t="n">
        <f aca="false">Parametri!$D$8</f>
        <v>0.115470053837925</v>
      </c>
    </row>
    <row r="72" customFormat="false" ht="17.25" hidden="false" customHeight="true" outlineLevel="0" collapsed="false">
      <c r="A72" s="8" t="n">
        <f aca="false">A71+3</f>
        <v>372</v>
      </c>
      <c r="D72" s="9" t="n">
        <f aca="false">B72+2*E72</f>
        <v>1742</v>
      </c>
      <c r="E72" s="10" t="n">
        <v>871</v>
      </c>
      <c r="F72" s="10" t="n">
        <f aca="false">IF(C72=0, Parametri!$D$8, ABS(B72-C72)/(2*SQRT(3)))</f>
        <v>0.115470053837925</v>
      </c>
      <c r="G72" s="10" t="n">
        <f aca="false">(A72-335)+135.8+(Parametri!$A$5/2)</f>
        <v>172.8</v>
      </c>
      <c r="H72" s="10" t="n">
        <f aca="false">(E72-192)-('Dati (2)'!A72-Parametri!$A$11)+Parametri!$A$2</f>
        <v>307</v>
      </c>
      <c r="I72" s="10" t="n">
        <f aca="false">F72</f>
        <v>0.115470053837925</v>
      </c>
      <c r="J72" s="10" t="n">
        <f aca="false">Parametri!$D$8</f>
        <v>0.115470053837925</v>
      </c>
    </row>
    <row r="73" customFormat="false" ht="17.25" hidden="false" customHeight="true" outlineLevel="0" collapsed="false">
      <c r="A73" s="8" t="n">
        <f aca="false">A72+3</f>
        <v>375</v>
      </c>
      <c r="D73" s="9" t="n">
        <f aca="false">B73+2*E73</f>
        <v>1734</v>
      </c>
      <c r="E73" s="10" t="n">
        <v>867</v>
      </c>
      <c r="F73" s="10" t="n">
        <f aca="false">IF(C73=0, Parametri!$D$8, ABS(B73-C73)/(2*SQRT(3)))</f>
        <v>0.115470053837925</v>
      </c>
      <c r="G73" s="10" t="n">
        <f aca="false">(A73-335)+135.8+(Parametri!$A$5/2)</f>
        <v>175.8</v>
      </c>
      <c r="H73" s="10" t="n">
        <f aca="false">(E73-192)-('Dati (2)'!A73-Parametri!$A$11)+Parametri!$A$2</f>
        <v>300</v>
      </c>
      <c r="I73" s="10" t="n">
        <f aca="false">F73</f>
        <v>0.115470053837925</v>
      </c>
      <c r="J73" s="10" t="n">
        <f aca="false">Parametri!$D$8</f>
        <v>0.115470053837925</v>
      </c>
    </row>
    <row r="74" customFormat="false" ht="17.25" hidden="false" customHeight="true" outlineLevel="0" collapsed="false">
      <c r="A74" s="8" t="n">
        <f aca="false">A73+4</f>
        <v>379</v>
      </c>
      <c r="D74" s="9" t="n">
        <f aca="false">B74+2*E74</f>
        <v>1721</v>
      </c>
      <c r="E74" s="10" t="n">
        <v>860.5</v>
      </c>
      <c r="F74" s="10" t="n">
        <f aca="false">IF(C74=0, Parametri!$D$8, ABS(B74-C74)/(2*SQRT(3)))</f>
        <v>0.115470053837925</v>
      </c>
      <c r="G74" s="10" t="n">
        <f aca="false">(A74-335)+135.8+(Parametri!$A$5/2)</f>
        <v>179.8</v>
      </c>
      <c r="H74" s="10" t="n">
        <f aca="false">(E74-192)-('Dati (2)'!A74-Parametri!$A$11)+Parametri!$A$2</f>
        <v>289.5</v>
      </c>
      <c r="I74" s="10" t="n">
        <f aca="false">F74</f>
        <v>0.115470053837925</v>
      </c>
      <c r="J74" s="10" t="n">
        <f aca="false">Parametri!$D$8</f>
        <v>0.115470053837925</v>
      </c>
    </row>
    <row r="75" customFormat="false" ht="17.25" hidden="false" customHeight="true" outlineLevel="0" collapsed="false">
      <c r="A75" s="8" t="n">
        <f aca="false">A74+4</f>
        <v>383</v>
      </c>
      <c r="D75" s="9" t="n">
        <f aca="false">B75+2*E75</f>
        <v>1720</v>
      </c>
      <c r="E75" s="10" t="n">
        <v>860</v>
      </c>
      <c r="F75" s="10" t="n">
        <f aca="false">IF(C75=0, Parametri!$D$8, ABS(B75-C75)/(2*SQRT(3)))</f>
        <v>0.115470053837925</v>
      </c>
      <c r="G75" s="10" t="n">
        <f aca="false">(A75-335)+135.8+(Parametri!$A$5/2)</f>
        <v>183.8</v>
      </c>
      <c r="H75" s="10" t="n">
        <f aca="false">(E75-192)-('Dati (2)'!A75-Parametri!$A$11)+Parametri!$A$2</f>
        <v>285</v>
      </c>
      <c r="I75" s="10" t="n">
        <f aca="false">F75</f>
        <v>0.115470053837925</v>
      </c>
      <c r="J75" s="10" t="n">
        <f aca="false">Parametri!$D$8</f>
        <v>0.115470053837925</v>
      </c>
    </row>
    <row r="76" customFormat="false" ht="17.25" hidden="false" customHeight="true" outlineLevel="0" collapsed="false">
      <c r="A76" s="8" t="n">
        <f aca="false">A75+4</f>
        <v>387</v>
      </c>
      <c r="D76" s="9" t="n">
        <f aca="false">B76+2*E76</f>
        <v>1706</v>
      </c>
      <c r="E76" s="10" t="n">
        <v>853</v>
      </c>
      <c r="F76" s="10" t="n">
        <f aca="false">IF(C76=0, Parametri!$D$8, ABS(B76-C76)/(2*SQRT(3)))</f>
        <v>0.115470053837925</v>
      </c>
      <c r="G76" s="10" t="n">
        <f aca="false">(A76-335)+135.8+(Parametri!$A$5/2)</f>
        <v>187.8</v>
      </c>
      <c r="H76" s="10" t="n">
        <f aca="false">(E76-192)-('Dati (2)'!A76-Parametri!$A$11)+Parametri!$A$2</f>
        <v>274</v>
      </c>
      <c r="I76" s="10" t="n">
        <f aca="false">F76</f>
        <v>0.115470053837925</v>
      </c>
      <c r="J76" s="10" t="n">
        <f aca="false">Parametri!$D$8</f>
        <v>0.115470053837925</v>
      </c>
    </row>
    <row r="77" customFormat="false" ht="17.25" hidden="false" customHeight="true" outlineLevel="0" collapsed="false">
      <c r="A77" s="8" t="n">
        <f aca="false">A76+4</f>
        <v>391</v>
      </c>
      <c r="D77" s="9" t="n">
        <f aca="false">B77+2*E77</f>
        <v>1695</v>
      </c>
      <c r="E77" s="10" t="n">
        <v>847.5</v>
      </c>
      <c r="F77" s="10" t="n">
        <f aca="false">IF(C77=0, Parametri!$D$8, ABS(B77-C77)/(2*SQRT(3)))</f>
        <v>0.115470053837925</v>
      </c>
      <c r="G77" s="10" t="n">
        <f aca="false">(A77-335)+135.8+(Parametri!$A$5/2)</f>
        <v>191.8</v>
      </c>
      <c r="H77" s="10" t="n">
        <f aca="false">(E77-192)-('Dati (2)'!A77-Parametri!$A$11)+Parametri!$A$2</f>
        <v>264.5</v>
      </c>
      <c r="I77" s="10" t="n">
        <f aca="false">F77</f>
        <v>0.115470053837925</v>
      </c>
      <c r="J77" s="10" t="n">
        <f aca="false">Parametri!$D$8</f>
        <v>0.115470053837925</v>
      </c>
    </row>
    <row r="78" customFormat="false" ht="17.25" hidden="false" customHeight="true" outlineLevel="0" collapsed="false">
      <c r="A78" s="8" t="n">
        <f aca="false">A77+4</f>
        <v>395</v>
      </c>
      <c r="D78" s="9" t="n">
        <f aca="false">B78+2*E78</f>
        <v>1696</v>
      </c>
      <c r="E78" s="10" t="n">
        <v>848</v>
      </c>
      <c r="F78" s="10" t="n">
        <f aca="false">IF(C78=0, Parametri!$D$8, ABS(B78-C78)/(2*SQRT(3)))</f>
        <v>0.115470053837925</v>
      </c>
      <c r="G78" s="10" t="n">
        <f aca="false">(A78-335)+135.8+(Parametri!$A$5/2)</f>
        <v>195.8</v>
      </c>
      <c r="H78" s="10" t="n">
        <f aca="false">(E78-192)-('Dati (2)'!A78-Parametri!$A$11)+Parametri!$A$2</f>
        <v>261</v>
      </c>
      <c r="I78" s="10" t="n">
        <f aca="false">F78</f>
        <v>0.115470053837925</v>
      </c>
      <c r="J78" s="10" t="n">
        <f aca="false">Parametri!$D$8</f>
        <v>0.115470053837925</v>
      </c>
    </row>
    <row r="79" customFormat="false" ht="17.25" hidden="false" customHeight="true" outlineLevel="0" collapsed="false">
      <c r="A79" s="8" t="n">
        <f aca="false">A78+4</f>
        <v>399</v>
      </c>
      <c r="D79" s="9" t="n">
        <f aca="false">B79+2*E79</f>
        <v>1685</v>
      </c>
      <c r="E79" s="10" t="n">
        <v>842.5</v>
      </c>
      <c r="F79" s="10" t="n">
        <f aca="false">IF(C79=0, Parametri!$D$8, ABS(B79-C79)/(2*SQRT(3)))</f>
        <v>0.115470053837925</v>
      </c>
      <c r="G79" s="10" t="n">
        <f aca="false">(A79-335)+135.8+(Parametri!$A$5/2)</f>
        <v>199.8</v>
      </c>
      <c r="H79" s="10" t="n">
        <f aca="false">(E79-192)-('Dati (2)'!A79-Parametri!$A$11)+Parametri!$A$2</f>
        <v>251.5</v>
      </c>
      <c r="I79" s="10" t="n">
        <f aca="false">F79</f>
        <v>0.115470053837925</v>
      </c>
      <c r="J79" s="10" t="n">
        <f aca="false">Parametri!$D$8</f>
        <v>0.115470053837925</v>
      </c>
    </row>
    <row r="80" customFormat="false" ht="17.25" hidden="false" customHeight="true" outlineLevel="0" collapsed="false">
      <c r="A80" s="8" t="n">
        <f aca="false">A79+4</f>
        <v>403</v>
      </c>
      <c r="D80" s="9" t="n">
        <f aca="false">B80+2*E80</f>
        <v>1682</v>
      </c>
      <c r="E80" s="10" t="n">
        <v>841</v>
      </c>
      <c r="F80" s="10" t="n">
        <f aca="false">IF(C80=0, Parametri!$D$8, ABS(B80-C80)/(2*SQRT(3)))</f>
        <v>0.115470053837925</v>
      </c>
      <c r="G80" s="10" t="n">
        <f aca="false">(A80-335)+135.8+(Parametri!$A$5/2)</f>
        <v>203.8</v>
      </c>
      <c r="H80" s="10" t="n">
        <f aca="false">(E80-192)-('Dati (2)'!A80-Parametri!$A$11)+Parametri!$A$2</f>
        <v>246</v>
      </c>
      <c r="I80" s="10" t="n">
        <f aca="false">F80</f>
        <v>0.115470053837925</v>
      </c>
      <c r="J80" s="10" t="n">
        <f aca="false">Parametri!$D$8</f>
        <v>0.115470053837925</v>
      </c>
    </row>
    <row r="81" customFormat="false" ht="17.25" hidden="false" customHeight="true" outlineLevel="0" collapsed="false">
      <c r="A81" s="8" t="n">
        <f aca="false">A80+4</f>
        <v>407</v>
      </c>
      <c r="D81" s="9" t="n">
        <f aca="false">B81+2*E81</f>
        <v>1677</v>
      </c>
      <c r="E81" s="10" t="n">
        <v>838.5</v>
      </c>
      <c r="F81" s="10" t="n">
        <f aca="false">IF(C81=0, Parametri!$D$8, ABS(B81-C81)/(2*SQRT(3)))</f>
        <v>0.115470053837925</v>
      </c>
      <c r="G81" s="10" t="n">
        <f aca="false">(A81-335)+135.8+(Parametri!$A$5/2)</f>
        <v>207.8</v>
      </c>
      <c r="H81" s="10" t="n">
        <f aca="false">(E81-192)-('Dati (2)'!A81-Parametri!$A$11)+Parametri!$A$2</f>
        <v>239.5</v>
      </c>
      <c r="I81" s="10" t="n">
        <f aca="false">F81</f>
        <v>0.115470053837925</v>
      </c>
      <c r="J81" s="10" t="n">
        <f aca="false">Parametri!$D$8</f>
        <v>0.115470053837925</v>
      </c>
    </row>
    <row r="82" customFormat="false" ht="17.25" hidden="false" customHeight="true" outlineLevel="0" collapsed="false">
      <c r="A82" s="8" t="n">
        <f aca="false">A81+5</f>
        <v>412</v>
      </c>
      <c r="D82" s="9" t="n">
        <f aca="false">B82+2*E82</f>
        <v>1683</v>
      </c>
      <c r="E82" s="10" t="n">
        <v>841.5</v>
      </c>
      <c r="F82" s="10" t="n">
        <f aca="false">IF(C82=0, Parametri!$D$8, ABS(B82-C82)/(2*SQRT(3)))</f>
        <v>0.115470053837925</v>
      </c>
      <c r="G82" s="10" t="n">
        <f aca="false">(A82-335)+135.8+(Parametri!$A$5/2)</f>
        <v>212.8</v>
      </c>
      <c r="H82" s="10" t="n">
        <f aca="false">(E82-192)-('Dati (2)'!A82-Parametri!$A$11)+Parametri!$A$2</f>
        <v>237.5</v>
      </c>
      <c r="I82" s="10" t="n">
        <f aca="false">F82</f>
        <v>0.115470053837925</v>
      </c>
      <c r="J82" s="10" t="n">
        <f aca="false">Parametri!$D$8</f>
        <v>0.115470053837925</v>
      </c>
    </row>
    <row r="83" customFormat="false" ht="17.25" hidden="false" customHeight="true" outlineLevel="0" collapsed="false">
      <c r="A83" s="8" t="n">
        <f aca="false">A82+5</f>
        <v>417</v>
      </c>
      <c r="D83" s="9" t="n">
        <f aca="false">B83+2*E83</f>
        <v>1684</v>
      </c>
      <c r="E83" s="10" t="n">
        <v>842</v>
      </c>
      <c r="F83" s="10" t="n">
        <f aca="false">IF(C83=0, Parametri!$D$8, ABS(B83-C83)/(2*SQRT(3)))</f>
        <v>0.115470053837925</v>
      </c>
      <c r="G83" s="10" t="n">
        <f aca="false">(A83-335)+135.8+(Parametri!$A$5/2)</f>
        <v>217.8</v>
      </c>
      <c r="H83" s="10" t="n">
        <f aca="false">(E83-192)-('Dati (2)'!A83-Parametri!$A$11)+Parametri!$A$2</f>
        <v>233</v>
      </c>
      <c r="I83" s="10" t="n">
        <f aca="false">F83</f>
        <v>0.115470053837925</v>
      </c>
      <c r="J83" s="10" t="n">
        <f aca="false">Parametri!$D$8</f>
        <v>0.115470053837925</v>
      </c>
    </row>
    <row r="84" customFormat="false" ht="17.25" hidden="false" customHeight="true" outlineLevel="0" collapsed="false">
      <c r="A84" s="8" t="n">
        <f aca="false">A83+5</f>
        <v>422</v>
      </c>
      <c r="D84" s="9" t="n">
        <f aca="false">B84+2*E84</f>
        <v>1682</v>
      </c>
      <c r="E84" s="10" t="n">
        <v>841</v>
      </c>
      <c r="F84" s="10" t="n">
        <f aca="false">IF(C84=0, Parametri!$D$8, ABS(B84-C84)/(2*SQRT(3)))</f>
        <v>0.115470053837925</v>
      </c>
      <c r="G84" s="10" t="n">
        <f aca="false">(A84-335)+135.8+(Parametri!$A$5/2)</f>
        <v>222.8</v>
      </c>
      <c r="H84" s="10" t="n">
        <f aca="false">(E84-192)-('Dati (2)'!A84-Parametri!$A$11)+Parametri!$A$2</f>
        <v>227</v>
      </c>
      <c r="I84" s="10" t="n">
        <f aca="false">F84</f>
        <v>0.115470053837925</v>
      </c>
      <c r="J84" s="10" t="n">
        <f aca="false">Parametri!$D$8</f>
        <v>0.115470053837925</v>
      </c>
    </row>
    <row r="85" customFormat="false" ht="17.25" hidden="false" customHeight="true" outlineLevel="0" collapsed="false">
      <c r="A85" s="8" t="n">
        <f aca="false">A84+5</f>
        <v>427</v>
      </c>
      <c r="D85" s="9" t="n">
        <f aca="false">B85+2*E85</f>
        <v>1681</v>
      </c>
      <c r="E85" s="10" t="n">
        <v>840.5</v>
      </c>
      <c r="F85" s="10" t="n">
        <f aca="false">IF(C85=0, Parametri!$D$8, ABS(B85-C85)/(2*SQRT(3)))</f>
        <v>0.115470053837925</v>
      </c>
      <c r="G85" s="10" t="n">
        <f aca="false">(A85-335)+135.8+(Parametri!$A$5/2)</f>
        <v>227.8</v>
      </c>
      <c r="H85" s="10" t="n">
        <f aca="false">(E85-192)-('Dati (2)'!A85-Parametri!$A$11)+Parametri!$A$2</f>
        <v>221.5</v>
      </c>
      <c r="I85" s="10" t="n">
        <f aca="false">F85</f>
        <v>0.115470053837925</v>
      </c>
      <c r="J85" s="10" t="n">
        <f aca="false">Parametri!$D$8</f>
        <v>0.115470053837925</v>
      </c>
    </row>
    <row r="86" customFormat="false" ht="17.25" hidden="false" customHeight="true" outlineLevel="0" collapsed="false">
      <c r="A86" s="8" t="n">
        <f aca="false">A85+5</f>
        <v>432</v>
      </c>
      <c r="D86" s="9" t="n">
        <f aca="false">B86+2*E86</f>
        <v>1680</v>
      </c>
      <c r="E86" s="10" t="n">
        <v>840</v>
      </c>
      <c r="F86" s="10" t="n">
        <f aca="false">IF(C86=0, Parametri!$D$8, ABS(B86-C86)/(2*SQRT(3)))</f>
        <v>0.115470053837925</v>
      </c>
      <c r="G86" s="10" t="n">
        <f aca="false">(A86-335)+135.8+(Parametri!$A$5/2)</f>
        <v>232.8</v>
      </c>
      <c r="H86" s="10" t="n">
        <f aca="false">(E86-192)-('Dati (2)'!A86-Parametri!$A$11)+Parametri!$A$2</f>
        <v>216</v>
      </c>
      <c r="I86" s="10" t="n">
        <f aca="false">F86</f>
        <v>0.115470053837925</v>
      </c>
      <c r="J86" s="10" t="n">
        <f aca="false">Parametri!$D$8</f>
        <v>0.115470053837925</v>
      </c>
    </row>
    <row r="87" customFormat="false" ht="17.25" hidden="false" customHeight="true" outlineLevel="0" collapsed="false">
      <c r="A87" s="8" t="n">
        <f aca="false">A86+5</f>
        <v>437</v>
      </c>
      <c r="D87" s="9" t="n">
        <f aca="false">B87+2*E87</f>
        <v>1680</v>
      </c>
      <c r="E87" s="10" t="n">
        <v>840</v>
      </c>
      <c r="F87" s="10" t="n">
        <f aca="false">IF(C87=0, Parametri!$D$8, ABS(B87-C87)/(2*SQRT(3)))</f>
        <v>0.115470053837925</v>
      </c>
      <c r="G87" s="10" t="n">
        <f aca="false">(A87-335)+135.8+(Parametri!$A$5/2)</f>
        <v>237.8</v>
      </c>
      <c r="H87" s="10" t="n">
        <f aca="false">(E87-192)-('Dati (2)'!A87-Parametri!$A$11)+Parametri!$A$2</f>
        <v>211</v>
      </c>
      <c r="I87" s="10" t="n">
        <f aca="false">F87</f>
        <v>0.115470053837925</v>
      </c>
      <c r="J87" s="10" t="n">
        <f aca="false">Parametri!$D$8</f>
        <v>0.115470053837925</v>
      </c>
    </row>
    <row r="88" customFormat="false" ht="17.25" hidden="false" customHeight="true" outlineLevel="0" collapsed="false">
      <c r="A88" s="8" t="n">
        <f aca="false">A87+5</f>
        <v>442</v>
      </c>
      <c r="D88" s="9" t="n">
        <f aca="false">B88+2*E88</f>
        <v>1680</v>
      </c>
      <c r="E88" s="10" t="n">
        <v>840</v>
      </c>
      <c r="F88" s="10" t="n">
        <f aca="false">IF(C88=0, Parametri!$D$8, ABS(B88-C88)/(2*SQRT(3)))</f>
        <v>0.115470053837925</v>
      </c>
      <c r="G88" s="10" t="n">
        <f aca="false">(A88-335)+135.8+(Parametri!$A$5/2)</f>
        <v>242.8</v>
      </c>
      <c r="H88" s="10" t="n">
        <f aca="false">(E88-192)-('Dati (2)'!A88-Parametri!$A$11)+Parametri!$A$2</f>
        <v>206</v>
      </c>
      <c r="I88" s="10" t="n">
        <f aca="false">F88</f>
        <v>0.115470053837925</v>
      </c>
      <c r="J88" s="10" t="n">
        <f aca="false">Parametri!$D$8</f>
        <v>0.115470053837925</v>
      </c>
    </row>
    <row r="89" customFormat="false" ht="17.25" hidden="false" customHeight="true" outlineLevel="0" collapsed="false">
      <c r="A89" s="8" t="n">
        <f aca="false">A88+5</f>
        <v>447</v>
      </c>
      <c r="D89" s="9" t="n">
        <f aca="false">B89+2*E89</f>
        <v>1680</v>
      </c>
      <c r="E89" s="10" t="n">
        <v>840</v>
      </c>
      <c r="F89" s="10" t="n">
        <f aca="false">IF(C89=0, Parametri!$D$8, ABS(B89-C89)/(2*SQRT(3)))</f>
        <v>0.115470053837925</v>
      </c>
      <c r="G89" s="10" t="n">
        <f aca="false">(A89-335)+135.8+(Parametri!$A$5/2)</f>
        <v>247.8</v>
      </c>
      <c r="H89" s="10" t="n">
        <f aca="false">(E89-192)-('Dati (2)'!A89-Parametri!$A$11)+Parametri!$A$2</f>
        <v>201</v>
      </c>
      <c r="I89" s="10" t="n">
        <f aca="false">F89</f>
        <v>0.115470053837925</v>
      </c>
      <c r="J89" s="10" t="n">
        <f aca="false">Parametri!$D$8</f>
        <v>0.115470053837925</v>
      </c>
    </row>
    <row r="90" customFormat="false" ht="17.25" hidden="false" customHeight="true" outlineLevel="0" collapsed="false">
      <c r="A90" s="8" t="n">
        <f aca="false">A89+7</f>
        <v>454</v>
      </c>
      <c r="D90" s="9" t="n">
        <f aca="false">B90+2*E90</f>
        <v>1680</v>
      </c>
      <c r="E90" s="10" t="n">
        <v>840</v>
      </c>
      <c r="F90" s="10" t="n">
        <f aca="false">IF(C90=0, Parametri!$D$8, ABS(B90-C90)/(2*SQRT(3)))</f>
        <v>0.115470053837925</v>
      </c>
      <c r="G90" s="10" t="n">
        <f aca="false">(A90-335)+135.8+(Parametri!$A$5/2)</f>
        <v>254.8</v>
      </c>
      <c r="H90" s="10" t="n">
        <f aca="false">(E90-192)-('Dati (2)'!A90-Parametri!$A$11)+Parametri!$A$2</f>
        <v>194</v>
      </c>
      <c r="I90" s="10" t="n">
        <f aca="false">F90</f>
        <v>0.115470053837925</v>
      </c>
      <c r="J90" s="10" t="n">
        <f aca="false">Parametri!$D$8</f>
        <v>0.115470053837925</v>
      </c>
    </row>
    <row r="91" customFormat="false" ht="17.25" hidden="false" customHeight="true" outlineLevel="0" collapsed="false">
      <c r="A91" s="8" t="n">
        <f aca="false">A90+7</f>
        <v>461</v>
      </c>
      <c r="D91" s="9" t="n">
        <f aca="false">B91+2*E91</f>
        <v>1683</v>
      </c>
      <c r="E91" s="10" t="n">
        <v>841.5</v>
      </c>
      <c r="F91" s="10" t="n">
        <f aca="false">IF(C91=0, Parametri!$D$8, ABS(B91-C91)/(2*SQRT(3)))</f>
        <v>0.115470053837925</v>
      </c>
      <c r="G91" s="10" t="n">
        <f aca="false">(A91-335)+135.8+(Parametri!$A$5/2)</f>
        <v>261.8</v>
      </c>
      <c r="H91" s="10" t="n">
        <f aca="false">(E91-192)-('Dati (2)'!A91-Parametri!$A$11)+Parametri!$A$2</f>
        <v>188.5</v>
      </c>
      <c r="I91" s="10" t="n">
        <f aca="false">F91</f>
        <v>0.115470053837925</v>
      </c>
      <c r="J91" s="10" t="n">
        <f aca="false">Parametri!$D$8</f>
        <v>0.115470053837925</v>
      </c>
    </row>
    <row r="92" customFormat="false" ht="17.25" hidden="false" customHeight="true" outlineLevel="0" collapsed="false">
      <c r="A92" s="8" t="n">
        <f aca="false">A91+7</f>
        <v>468</v>
      </c>
      <c r="D92" s="9" t="n">
        <f aca="false">B92+2*E92</f>
        <v>1692</v>
      </c>
      <c r="E92" s="10" t="n">
        <v>846</v>
      </c>
      <c r="F92" s="10" t="n">
        <f aca="false">IF(C92=0, Parametri!$D$8, ABS(B92-C92)/(2*SQRT(3)))</f>
        <v>0.115470053837925</v>
      </c>
      <c r="G92" s="10" t="n">
        <f aca="false">(A92-335)+135.8+(Parametri!$A$5/2)</f>
        <v>268.8</v>
      </c>
      <c r="H92" s="10" t="n">
        <f aca="false">(E92-192)-('Dati (2)'!A92-Parametri!$A$11)+Parametri!$A$2</f>
        <v>186</v>
      </c>
      <c r="I92" s="10" t="n">
        <f aca="false">F92</f>
        <v>0.115470053837925</v>
      </c>
      <c r="J92" s="10" t="n">
        <f aca="false">Parametri!$D$8</f>
        <v>0.115470053837925</v>
      </c>
    </row>
    <row r="93" customFormat="false" ht="17.25" hidden="false" customHeight="true" outlineLevel="0" collapsed="false">
      <c r="A93" s="8" t="n">
        <f aca="false">A92+7</f>
        <v>475</v>
      </c>
      <c r="D93" s="9" t="n">
        <f aca="false">B93+2*E93</f>
        <v>1689</v>
      </c>
      <c r="E93" s="10" t="n">
        <v>844.5</v>
      </c>
      <c r="F93" s="10" t="n">
        <f aca="false">IF(C93=0, Parametri!$D$8, ABS(B93-C93)/(2*SQRT(3)))</f>
        <v>0.115470053837925</v>
      </c>
      <c r="G93" s="10" t="n">
        <f aca="false">(A93-335)+135.8+(Parametri!$A$5/2)</f>
        <v>275.8</v>
      </c>
      <c r="H93" s="10" t="n">
        <f aca="false">(E93-192)-('Dati (2)'!A93-Parametri!$A$11)+Parametri!$A$2</f>
        <v>177.5</v>
      </c>
      <c r="I93" s="10" t="n">
        <f aca="false">F93</f>
        <v>0.115470053837925</v>
      </c>
      <c r="J93" s="10" t="n">
        <f aca="false">Parametri!$D$8</f>
        <v>0.115470053837925</v>
      </c>
    </row>
    <row r="94" customFormat="false" ht="17.25" hidden="false" customHeight="true" outlineLevel="0" collapsed="false">
      <c r="A94" s="8" t="n">
        <f aca="false">A93+10</f>
        <v>485</v>
      </c>
      <c r="D94" s="9" t="n">
        <f aca="false">B94+2*E94</f>
        <v>1700</v>
      </c>
      <c r="E94" s="10" t="n">
        <v>850</v>
      </c>
      <c r="F94" s="10" t="n">
        <f aca="false">IF(C94=0, Parametri!$D$8, ABS(B94-C94)/(2*SQRT(3)))</f>
        <v>0.115470053837925</v>
      </c>
      <c r="G94" s="10" t="n">
        <f aca="false">(A94-335)+135.8+(Parametri!$A$5/2)</f>
        <v>285.8</v>
      </c>
      <c r="H94" s="10" t="n">
        <f aca="false">(E94-192)-('Dati (2)'!A94-Parametri!$A$11)+Parametri!$A$2</f>
        <v>173</v>
      </c>
      <c r="I94" s="10" t="n">
        <f aca="false">F94</f>
        <v>0.115470053837925</v>
      </c>
      <c r="J94" s="10" t="n">
        <f aca="false">Parametri!$D$8</f>
        <v>0.115470053837925</v>
      </c>
    </row>
    <row r="95" customFormat="false" ht="17.25" hidden="false" customHeight="true" outlineLevel="0" collapsed="false">
      <c r="A95" s="8" t="n">
        <f aca="false">A94+10</f>
        <v>495</v>
      </c>
      <c r="D95" s="9" t="n">
        <f aca="false">B95+2*E95</f>
        <v>1706</v>
      </c>
      <c r="E95" s="10" t="n">
        <v>853</v>
      </c>
      <c r="F95" s="10" t="n">
        <f aca="false">IF(C95=0, Parametri!$D$8, ABS(B95-C95)/(2*SQRT(3)))</f>
        <v>0.115470053837925</v>
      </c>
      <c r="G95" s="10" t="n">
        <f aca="false">(A95-335)+135.8+(Parametri!$A$5/2)</f>
        <v>295.8</v>
      </c>
      <c r="H95" s="10" t="n">
        <f aca="false">(E95-192)-('Dati (2)'!A95-Parametri!$A$11)+Parametri!$A$2</f>
        <v>166</v>
      </c>
      <c r="I95" s="10" t="n">
        <f aca="false">F95</f>
        <v>0.115470053837925</v>
      </c>
      <c r="J95" s="10" t="n">
        <f aca="false">Parametri!$D$8</f>
        <v>0.115470053837925</v>
      </c>
    </row>
    <row r="96" customFormat="false" ht="17.25" hidden="false" customHeight="true" outlineLevel="0" collapsed="false">
      <c r="A96" s="8" t="n">
        <f aca="false">A95+10</f>
        <v>505</v>
      </c>
      <c r="D96" s="9" t="n">
        <f aca="false">B96+2*E96</f>
        <v>1712</v>
      </c>
      <c r="E96" s="10" t="n">
        <v>856</v>
      </c>
      <c r="F96" s="10" t="n">
        <f aca="false">IF(C96=0, Parametri!$D$8, ABS(B96-C96)/(2*SQRT(3)))</f>
        <v>0.115470053837925</v>
      </c>
      <c r="G96" s="10" t="n">
        <f aca="false">(A96-335)+135.8+(Parametri!$A$5/2)</f>
        <v>305.8</v>
      </c>
      <c r="H96" s="10" t="n">
        <f aca="false">(E96-192)-('Dati (2)'!A96-Parametri!$A$11)+Parametri!$A$2</f>
        <v>159</v>
      </c>
      <c r="I96" s="10" t="n">
        <f aca="false">F96</f>
        <v>0.115470053837925</v>
      </c>
      <c r="J96" s="10" t="n">
        <f aca="false">Parametri!$D$8</f>
        <v>0.115470053837925</v>
      </c>
    </row>
    <row r="97" customFormat="false" ht="17.25" hidden="false" customHeight="true" outlineLevel="0" collapsed="false">
      <c r="A97" s="8" t="n">
        <f aca="false">A96+10</f>
        <v>515</v>
      </c>
      <c r="D97" s="9" t="n">
        <f aca="false">B97+2*E97</f>
        <v>1718</v>
      </c>
      <c r="E97" s="10" t="n">
        <v>859</v>
      </c>
      <c r="F97" s="10" t="n">
        <f aca="false">IF(C97=0, Parametri!$D$8, ABS(B97-C97)/(2*SQRT(3)))</f>
        <v>0.115470053837925</v>
      </c>
      <c r="G97" s="10" t="n">
        <f aca="false">(A97-335)+135.8+(Parametri!$A$5/2)</f>
        <v>315.8</v>
      </c>
      <c r="H97" s="10" t="n">
        <f aca="false">(E97-192)-('Dati (2)'!A97-Parametri!$A$11)+Parametri!$A$2</f>
        <v>152</v>
      </c>
      <c r="I97" s="10" t="n">
        <f aca="false">F97</f>
        <v>0.115470053837925</v>
      </c>
      <c r="J97" s="10" t="n">
        <f aca="false">Parametri!$D$8</f>
        <v>0.115470053837925</v>
      </c>
    </row>
    <row r="98" customFormat="false" ht="17.25" hidden="false" customHeight="true" outlineLevel="0" collapsed="false">
      <c r="A98" s="8" t="n">
        <f aca="false">A97+10</f>
        <v>525</v>
      </c>
      <c r="D98" s="9" t="n">
        <f aca="false">B98+2*E98</f>
        <v>1717</v>
      </c>
      <c r="E98" s="10" t="n">
        <v>858.5</v>
      </c>
      <c r="F98" s="10" t="n">
        <f aca="false">IF(C98=0, Parametri!$D$8, ABS(B98-C98)/(2*SQRT(3)))</f>
        <v>0.115470053837925</v>
      </c>
      <c r="G98" s="10" t="n">
        <f aca="false">(A98-335)+135.8+(Parametri!$A$5/2)</f>
        <v>325.8</v>
      </c>
      <c r="H98" s="10" t="n">
        <f aca="false">(E98-192)-('Dati (2)'!A98-Parametri!$A$11)+Parametri!$A$2</f>
        <v>141.5</v>
      </c>
      <c r="I98" s="10" t="n">
        <f aca="false">F98</f>
        <v>0.115470053837925</v>
      </c>
      <c r="J98" s="10" t="n">
        <f aca="false">Parametri!$D$8</f>
        <v>0.115470053837925</v>
      </c>
    </row>
    <row r="99" customFormat="false" ht="17.25" hidden="false" customHeight="true" outlineLevel="0" collapsed="false">
      <c r="A99" s="8" t="n">
        <f aca="false">A98+10</f>
        <v>535</v>
      </c>
      <c r="D99" s="9" t="n">
        <f aca="false">B99+2*E99</f>
        <v>1749</v>
      </c>
      <c r="E99" s="10" t="n">
        <v>874.5</v>
      </c>
      <c r="F99" s="10" t="n">
        <f aca="false">IF(C99=0, Parametri!$D$8, ABS(B99-C99)/(2*SQRT(3)))</f>
        <v>0.115470053837925</v>
      </c>
      <c r="G99" s="10" t="n">
        <f aca="false">(A99-335)+135.8+(Parametri!$A$5/2)</f>
        <v>335.8</v>
      </c>
      <c r="H99" s="10" t="n">
        <f aca="false">(E99-192)-('Dati (2)'!A99-Parametri!$A$11)+Parametri!$A$2</f>
        <v>147.5</v>
      </c>
      <c r="I99" s="10" t="n">
        <f aca="false">F99</f>
        <v>0.115470053837925</v>
      </c>
      <c r="J99" s="10" t="n">
        <f aca="false">Parametri!$D$8</f>
        <v>0.115470053837925</v>
      </c>
    </row>
    <row r="100" customFormat="false" ht="17.25" hidden="false" customHeight="true" outlineLevel="0" collapsed="false">
      <c r="A100" s="8" t="n">
        <f aca="false">A99+10</f>
        <v>545</v>
      </c>
      <c r="D100" s="9" t="n">
        <f aca="false">B100+2*E100</f>
        <v>1753</v>
      </c>
      <c r="E100" s="10" t="n">
        <v>876.5</v>
      </c>
      <c r="F100" s="10" t="n">
        <f aca="false">IF(C100=0, Parametri!$D$8, ABS(B100-C100)/(2*SQRT(3)))</f>
        <v>0.115470053837925</v>
      </c>
      <c r="G100" s="10" t="n">
        <f aca="false">(A100-335)+135.8+(Parametri!$A$5/2)</f>
        <v>345.8</v>
      </c>
      <c r="H100" s="10" t="n">
        <f aca="false">(E100-192)-('Dati (2)'!A100-Parametri!$A$11)+Parametri!$A$2</f>
        <v>139.5</v>
      </c>
      <c r="I100" s="10" t="n">
        <f aca="false">F100</f>
        <v>0.115470053837925</v>
      </c>
      <c r="J100" s="10" t="n">
        <f aca="false">Parametri!$D$8</f>
        <v>0.115470053837925</v>
      </c>
    </row>
    <row r="101" customFormat="false" ht="17.25" hidden="false" customHeight="true" outlineLevel="0" collapsed="false">
      <c r="A101" s="8" t="n">
        <f aca="false">A100+10</f>
        <v>555</v>
      </c>
      <c r="D101" s="9" t="n">
        <f aca="false">B101+2*E101</f>
        <v>1768</v>
      </c>
      <c r="E101" s="10" t="n">
        <v>884</v>
      </c>
      <c r="F101" s="10" t="n">
        <f aca="false">IF(C101=0, Parametri!$D$8, ABS(B101-C101)/(2*SQRT(3)))</f>
        <v>0.115470053837925</v>
      </c>
      <c r="G101" s="10" t="n">
        <f aca="false">(A101-335)+135.8+(Parametri!$A$5/2)</f>
        <v>355.8</v>
      </c>
      <c r="H101" s="10" t="n">
        <f aca="false">(E101-192)-('Dati (2)'!A101-Parametri!$A$11)+Parametri!$A$2</f>
        <v>137</v>
      </c>
      <c r="I101" s="10" t="n">
        <f aca="false">F101</f>
        <v>0.115470053837925</v>
      </c>
      <c r="J101" s="10" t="n">
        <f aca="false">Parametri!$D$8</f>
        <v>0.115470053837925</v>
      </c>
    </row>
    <row r="102" customFormat="false" ht="17.25" hidden="false" customHeight="true" outlineLevel="0" collapsed="false">
      <c r="A102" s="8" t="n">
        <f aca="false">A101+10</f>
        <v>565</v>
      </c>
      <c r="D102" s="9" t="n">
        <f aca="false">B102+2*E102</f>
        <v>1778</v>
      </c>
      <c r="E102" s="10" t="n">
        <v>889</v>
      </c>
      <c r="F102" s="10" t="n">
        <f aca="false">IF(C102=0, Parametri!$D$8, ABS(B102-C102)/(2*SQRT(3)))</f>
        <v>0.115470053837925</v>
      </c>
      <c r="G102" s="10" t="n">
        <f aca="false">(A102-335)+135.8+(Parametri!$A$5/2)</f>
        <v>365.8</v>
      </c>
      <c r="H102" s="10" t="n">
        <f aca="false">(E102-192)-('Dati (2)'!A102-Parametri!$A$11)+Parametri!$A$2</f>
        <v>132</v>
      </c>
      <c r="I102" s="10" t="n">
        <f aca="false">F102</f>
        <v>0.115470053837925</v>
      </c>
      <c r="J102" s="10" t="n">
        <f aca="false">Parametri!$D$8</f>
        <v>0.115470053837925</v>
      </c>
    </row>
    <row r="103" customFormat="false" ht="17.25" hidden="false" customHeight="true" outlineLevel="0" collapsed="false">
      <c r="A103" s="8" t="n">
        <f aca="false">A102+10</f>
        <v>575</v>
      </c>
      <c r="D103" s="9" t="n">
        <f aca="false">B103+2*E103</f>
        <v>1789</v>
      </c>
      <c r="E103" s="10" t="n">
        <v>894.5</v>
      </c>
      <c r="F103" s="10" t="n">
        <f aca="false">IF(C103=0, Parametri!$D$8, ABS(B103-C103)/(2*SQRT(3)))</f>
        <v>0.115470053837925</v>
      </c>
      <c r="G103" s="10" t="n">
        <f aca="false">(A103-335)+135.8+(Parametri!$A$5/2)</f>
        <v>375.8</v>
      </c>
      <c r="H103" s="10" t="n">
        <f aca="false">(E103-192)-('Dati (2)'!A103-Parametri!$A$11)+Parametri!$A$2</f>
        <v>127.5</v>
      </c>
      <c r="I103" s="10" t="n">
        <f aca="false">F103</f>
        <v>0.115470053837925</v>
      </c>
      <c r="J103" s="10" t="n">
        <f aca="false">Parametri!$D$8</f>
        <v>0.115470053837925</v>
      </c>
    </row>
    <row r="104" customFormat="false" ht="17.25" hidden="false" customHeight="true" outlineLevel="0" collapsed="false">
      <c r="A104" s="8" t="n">
        <f aca="false">A103+20</f>
        <v>595</v>
      </c>
      <c r="D104" s="9" t="n">
        <f aca="false">B104+2*E104</f>
        <v>1813</v>
      </c>
      <c r="E104" s="10" t="n">
        <v>906.5</v>
      </c>
      <c r="F104" s="10" t="n">
        <f aca="false">IF(C104=0, Parametri!$D$8, ABS(B104-C104)/(2*SQRT(3)))</f>
        <v>0.115470053837925</v>
      </c>
      <c r="G104" s="10" t="n">
        <f aca="false">(A104-335)+135.8+(Parametri!$A$5/2)</f>
        <v>395.8</v>
      </c>
      <c r="H104" s="10" t="n">
        <f aca="false">(E104-192)-('Dati (2)'!A104-Parametri!$A$11)+Parametri!$A$2</f>
        <v>119.5</v>
      </c>
      <c r="I104" s="10" t="n">
        <f aca="false">F104</f>
        <v>0.115470053837925</v>
      </c>
      <c r="J104" s="10" t="n">
        <f aca="false">Parametri!$D$8</f>
        <v>0.115470053837925</v>
      </c>
    </row>
    <row r="105" customFormat="false" ht="17.25" hidden="false" customHeight="true" outlineLevel="0" collapsed="false">
      <c r="A105" s="8" t="n">
        <f aca="false">A104+20</f>
        <v>615</v>
      </c>
      <c r="D105" s="9" t="n">
        <f aca="false">B105+2*E105</f>
        <v>1849</v>
      </c>
      <c r="E105" s="10" t="n">
        <v>924.5</v>
      </c>
      <c r="F105" s="10" t="n">
        <f aca="false">IF(C105=0, Parametri!$D$8, ABS(B105-C105)/(2*SQRT(3)))</f>
        <v>0.115470053837925</v>
      </c>
      <c r="G105" s="10" t="n">
        <f aca="false">(A105-335)+135.8+(Parametri!$A$5/2)</f>
        <v>415.8</v>
      </c>
      <c r="H105" s="10" t="n">
        <f aca="false">(E105-192)-('Dati (2)'!A105-Parametri!$A$11)+Parametri!$A$2</f>
        <v>117.5</v>
      </c>
      <c r="I105" s="10" t="n">
        <f aca="false">F105</f>
        <v>0.115470053837925</v>
      </c>
      <c r="J105" s="10" t="n">
        <f aca="false">Parametri!$D$8</f>
        <v>0.115470053837925</v>
      </c>
    </row>
    <row r="106" customFormat="false" ht="17.25" hidden="false" customHeight="true" outlineLevel="0" collapsed="false">
      <c r="A106" s="8" t="n">
        <f aca="false">A105+20</f>
        <v>635</v>
      </c>
      <c r="D106" s="9" t="n">
        <f aca="false">B106+2*E106</f>
        <v>1875</v>
      </c>
      <c r="E106" s="10" t="n">
        <v>937.5</v>
      </c>
      <c r="F106" s="10" t="n">
        <f aca="false">IF(C106=0, Parametri!$D$8, ABS(B106-C106)/(2*SQRT(3)))</f>
        <v>0.115470053837925</v>
      </c>
      <c r="G106" s="10" t="n">
        <f aca="false">(A106-335)+135.8+(Parametri!$A$5/2)</f>
        <v>435.8</v>
      </c>
      <c r="H106" s="10" t="n">
        <f aca="false">(E106-192)-('Dati (2)'!A106-Parametri!$A$11)+Parametri!$A$2</f>
        <v>110.5</v>
      </c>
      <c r="I106" s="10" t="n">
        <f aca="false">F106</f>
        <v>0.115470053837925</v>
      </c>
      <c r="J106" s="10" t="n">
        <f aca="false">Parametri!$D$8</f>
        <v>0.115470053837925</v>
      </c>
    </row>
    <row r="107" customFormat="false" ht="17.25" hidden="false" customHeight="true" outlineLevel="0" collapsed="false">
      <c r="A107" s="8" t="n">
        <f aca="false">A106+20</f>
        <v>655</v>
      </c>
      <c r="D107" s="9" t="n">
        <f aca="false">B107+2*E107</f>
        <v>1904</v>
      </c>
      <c r="E107" s="10" t="n">
        <v>952</v>
      </c>
      <c r="F107" s="10" t="n">
        <f aca="false">IF(C107=0, Parametri!$D$8, ABS(B107-C107)/(2*SQRT(3)))</f>
        <v>0.115470053837925</v>
      </c>
      <c r="G107" s="10" t="n">
        <f aca="false">(A107-335)+135.8+(Parametri!$A$5/2)</f>
        <v>455.8</v>
      </c>
      <c r="H107" s="10" t="n">
        <f aca="false">(E107-192)-('Dati (2)'!A107-Parametri!$A$11)+Parametri!$A$2</f>
        <v>105</v>
      </c>
      <c r="I107" s="10" t="n">
        <f aca="false">F107</f>
        <v>0.115470053837925</v>
      </c>
      <c r="J107" s="10" t="n">
        <f aca="false">Parametri!$D$8</f>
        <v>0.115470053837925</v>
      </c>
    </row>
    <row r="108" customFormat="false" ht="17.25" hidden="false" customHeight="true" outlineLevel="0" collapsed="false">
      <c r="A108" s="8" t="n">
        <f aca="false">A107+20</f>
        <v>675</v>
      </c>
      <c r="D108" s="9" t="n">
        <f aca="false">B108+2*E108</f>
        <v>1937</v>
      </c>
      <c r="E108" s="10" t="n">
        <v>968.5</v>
      </c>
      <c r="F108" s="10" t="n">
        <f aca="false">IF(C108=0, Parametri!$D$8, ABS(B108-C108)/(2*SQRT(3)))</f>
        <v>0.115470053837925</v>
      </c>
      <c r="G108" s="10" t="n">
        <f aca="false">(A108-335)+135.8+(Parametri!$A$5/2)</f>
        <v>475.8</v>
      </c>
      <c r="H108" s="10" t="n">
        <f aca="false">(E108-192)-('Dati (2)'!A108-Parametri!$A$11)+Parametri!$A$2</f>
        <v>101.5</v>
      </c>
      <c r="I108" s="10" t="n">
        <f aca="false">F108</f>
        <v>0.115470053837925</v>
      </c>
      <c r="J108" s="10" t="n">
        <f aca="false">Parametri!$D$8</f>
        <v>0.115470053837925</v>
      </c>
    </row>
    <row r="109" customFormat="false" ht="17.25" hidden="false" customHeight="true" outlineLevel="0" collapsed="false">
      <c r="A109" s="8" t="n">
        <f aca="false">A108+20</f>
        <v>695</v>
      </c>
      <c r="D109" s="9" t="n">
        <f aca="false">B109+2*E109</f>
        <v>1969</v>
      </c>
      <c r="E109" s="10" t="n">
        <v>984.5</v>
      </c>
      <c r="F109" s="10" t="n">
        <f aca="false">IF(C109=0, Parametri!$D$8, ABS(B109-C109)/(2*SQRT(3)))</f>
        <v>0.115470053837925</v>
      </c>
      <c r="G109" s="10" t="n">
        <f aca="false">(A109-335)+135.8+(Parametri!$A$5/2)</f>
        <v>495.8</v>
      </c>
      <c r="H109" s="10" t="n">
        <f aca="false">(E109-192)-('Dati (2)'!A109-Parametri!$A$11)+Parametri!$A$2</f>
        <v>97.5</v>
      </c>
      <c r="I109" s="10" t="n">
        <f aca="false">F109</f>
        <v>0.115470053837925</v>
      </c>
      <c r="J109" s="10" t="n">
        <f aca="false">Parametri!$D$8</f>
        <v>0.115470053837925</v>
      </c>
    </row>
    <row r="110" customFormat="false" ht="17.25" hidden="false" customHeight="true" outlineLevel="0" collapsed="false">
      <c r="A110" s="8" t="n">
        <f aca="false">A109+20</f>
        <v>715</v>
      </c>
      <c r="D110" s="9" t="n">
        <f aca="false">B110+2*E110</f>
        <v>2002</v>
      </c>
      <c r="E110" s="10" t="n">
        <v>1001</v>
      </c>
      <c r="F110" s="10" t="n">
        <f aca="false">IF(C110=0, Parametri!$D$8, ABS(B110-C110)/(2*SQRT(3)))</f>
        <v>0.115470053837925</v>
      </c>
      <c r="G110" s="10" t="n">
        <f aca="false">(A110-335)+135.8+(Parametri!$A$5/2)</f>
        <v>515.8</v>
      </c>
      <c r="H110" s="10" t="n">
        <f aca="false">(E110-192)-('Dati (2)'!A110-Parametri!$A$11)+Parametri!$A$2</f>
        <v>94</v>
      </c>
      <c r="I110" s="10" t="n">
        <f aca="false">F110</f>
        <v>0.115470053837925</v>
      </c>
      <c r="J110" s="10" t="n">
        <f aca="false">Parametri!$D$8</f>
        <v>0.115470053837925</v>
      </c>
    </row>
    <row r="111" customFormat="false" ht="17.25" hidden="false" customHeight="true" outlineLevel="0" collapsed="false">
      <c r="A111" s="8" t="n">
        <f aca="false">A110+20</f>
        <v>735</v>
      </c>
      <c r="D111" s="9" t="n">
        <f aca="false">B111+2*E111</f>
        <v>2034</v>
      </c>
      <c r="E111" s="10" t="n">
        <v>1017</v>
      </c>
      <c r="F111" s="10" t="n">
        <f aca="false">IF(C111=0, Parametri!$D$8, ABS(B111-C111)/(2*SQRT(3)))</f>
        <v>0.115470053837925</v>
      </c>
      <c r="G111" s="10" t="n">
        <f aca="false">(A111-335)+135.8+(Parametri!$A$5/2)</f>
        <v>535.8</v>
      </c>
      <c r="H111" s="10" t="n">
        <f aca="false">(E111-192)-('Dati (2)'!A111-Parametri!$A$11)+Parametri!$A$2</f>
        <v>90</v>
      </c>
      <c r="I111" s="10" t="n">
        <f aca="false">F111</f>
        <v>0.115470053837925</v>
      </c>
      <c r="J111" s="10" t="n">
        <f aca="false">Parametri!$D$8</f>
        <v>0.115470053837925</v>
      </c>
    </row>
    <row r="112" customFormat="false" ht="17.25" hidden="false" customHeight="true" outlineLevel="0" collapsed="false">
      <c r="A112" s="8" t="n">
        <f aca="false">A111+20</f>
        <v>755</v>
      </c>
      <c r="D112" s="9" t="n">
        <f aca="false">B112+2*E112</f>
        <v>2067</v>
      </c>
      <c r="E112" s="10" t="n">
        <v>1033.5</v>
      </c>
      <c r="F112" s="10" t="n">
        <f aca="false">IF(C112=0, Parametri!$D$8, ABS(B112-C112)/(2*SQRT(3)))</f>
        <v>0.115470053837925</v>
      </c>
      <c r="G112" s="10" t="n">
        <f aca="false">(A112-335)+135.8+(Parametri!$A$5/2)</f>
        <v>555.8</v>
      </c>
      <c r="H112" s="10" t="n">
        <f aca="false">(E112-192)-('Dati (2)'!A112-Parametri!$A$11)+Parametri!$A$2</f>
        <v>86.5</v>
      </c>
      <c r="I112" s="10" t="n">
        <f aca="false">F112</f>
        <v>0.115470053837925</v>
      </c>
      <c r="J112" s="10" t="n">
        <f aca="false">Parametri!$D$8</f>
        <v>0.115470053837925</v>
      </c>
    </row>
    <row r="113" customFormat="false" ht="17.25" hidden="false" customHeight="true" outlineLevel="0" collapsed="false">
      <c r="A113" s="8" t="n">
        <f aca="false">A112+20</f>
        <v>775</v>
      </c>
      <c r="D113" s="9" t="n">
        <f aca="false">B113+2*E113</f>
        <v>2100</v>
      </c>
      <c r="E113" s="10" t="n">
        <v>1050</v>
      </c>
      <c r="F113" s="10" t="n">
        <f aca="false">IF(C113=0, Parametri!$D$8, ABS(B113-C113)/(2*SQRT(3)))</f>
        <v>0.115470053837925</v>
      </c>
      <c r="G113" s="10" t="n">
        <f aca="false">(A113-335)+135.8+(Parametri!$A$5/2)</f>
        <v>575.8</v>
      </c>
      <c r="H113" s="10" t="n">
        <f aca="false">(E113-192)-('Dati (2)'!A113-Parametri!$A$11)+Parametri!$A$2</f>
        <v>83</v>
      </c>
      <c r="I113" s="10" t="n">
        <f aca="false">F113</f>
        <v>0.115470053837925</v>
      </c>
      <c r="J113" s="10" t="n">
        <f aca="false">Parametri!$D$8</f>
        <v>0.115470053837925</v>
      </c>
    </row>
    <row r="114" customFormat="false" ht="17.25" hidden="false" customHeight="true" outlineLevel="0" collapsed="false">
      <c r="A114" s="8" t="n">
        <f aca="false">A113+50</f>
        <v>825</v>
      </c>
      <c r="D114" s="9" t="n">
        <f aca="false">B114+2*E114</f>
        <v>2187</v>
      </c>
      <c r="E114" s="10" t="n">
        <v>1093.5</v>
      </c>
      <c r="F114" s="10" t="n">
        <f aca="false">IF(C114=0, Parametri!$D$8, ABS(B114-C114)/(2*SQRT(3)))</f>
        <v>0.115470053837925</v>
      </c>
      <c r="G114" s="10" t="n">
        <f aca="false">(A114-335)+135.8+(Parametri!$A$5/2)</f>
        <v>625.8</v>
      </c>
      <c r="H114" s="10" t="n">
        <f aca="false">(E114-192)-('Dati (2)'!A114-Parametri!$A$11)+Parametri!$A$2</f>
        <v>76.5</v>
      </c>
      <c r="I114" s="10" t="n">
        <f aca="false">F114</f>
        <v>0.115470053837925</v>
      </c>
      <c r="J114" s="10" t="n">
        <f aca="false">Parametri!$D$8</f>
        <v>0.115470053837925</v>
      </c>
    </row>
    <row r="115" customFormat="false" ht="17.25" hidden="false" customHeight="true" outlineLevel="0" collapsed="false">
      <c r="A115" s="8" t="n">
        <f aca="false">A114+50</f>
        <v>875</v>
      </c>
      <c r="D115" s="9" t="n">
        <f aca="false">B115+2*E115</f>
        <v>2276</v>
      </c>
      <c r="E115" s="10" t="n">
        <v>1138</v>
      </c>
      <c r="F115" s="10" t="n">
        <f aca="false">IF(C115=0, Parametri!$D$8, ABS(B115-C115)/(2*SQRT(3)))</f>
        <v>0.115470053837925</v>
      </c>
      <c r="G115" s="10" t="n">
        <f aca="false">(A115-335)+135.8+(Parametri!$A$5/2)</f>
        <v>675.8</v>
      </c>
      <c r="H115" s="10" t="n">
        <f aca="false">(E115-192)-('Dati (2)'!A115-Parametri!$A$11)+Parametri!$A$2</f>
        <v>71</v>
      </c>
      <c r="I115" s="10" t="n">
        <f aca="false">F115</f>
        <v>0.115470053837925</v>
      </c>
      <c r="J115" s="10" t="n">
        <f aca="false">Parametri!$D$8</f>
        <v>0.115470053837925</v>
      </c>
    </row>
    <row r="116" customFormat="false" ht="17.25" hidden="false" customHeight="true" outlineLevel="0" collapsed="false">
      <c r="A116" s="8" t="n">
        <f aca="false">A115+50</f>
        <v>925</v>
      </c>
      <c r="D116" s="9" t="n">
        <f aca="false">B116+2*E116</f>
        <v>2369</v>
      </c>
      <c r="E116" s="10" t="n">
        <v>1184.5</v>
      </c>
      <c r="F116" s="10" t="n">
        <f aca="false">IF(C116=0, Parametri!$D$8, ABS(B116-C116)/(2*SQRT(3)))</f>
        <v>0.115470053837925</v>
      </c>
      <c r="G116" s="10" t="n">
        <f aca="false">(A116-335)+135.8+(Parametri!$A$5/2)</f>
        <v>725.8</v>
      </c>
      <c r="H116" s="10" t="n">
        <f aca="false">(E116-192)-('Dati (2)'!A116-Parametri!$A$11)+Parametri!$A$2</f>
        <v>67.5</v>
      </c>
      <c r="I116" s="10" t="n">
        <f aca="false">F116</f>
        <v>0.115470053837925</v>
      </c>
      <c r="J116" s="10" t="n">
        <f aca="false">Parametri!$D$8</f>
        <v>0.115470053837925</v>
      </c>
    </row>
    <row r="117" customFormat="false" ht="17.25" hidden="false" customHeight="true" outlineLevel="0" collapsed="false">
      <c r="A117" s="8" t="n">
        <f aca="false">A116+50</f>
        <v>975</v>
      </c>
      <c r="D117" s="9" t="n">
        <f aca="false">B117+2*E117</f>
        <v>2456</v>
      </c>
      <c r="E117" s="10" t="n">
        <v>1228</v>
      </c>
      <c r="F117" s="10" t="n">
        <f aca="false">IF(C117=0, Parametri!$D$8, ABS(B117-C117)/(2*SQRT(3)))</f>
        <v>0.115470053837925</v>
      </c>
      <c r="G117" s="10" t="n">
        <f aca="false">(A117-335)+135.8+(Parametri!$A$5/2)</f>
        <v>775.8</v>
      </c>
      <c r="H117" s="10" t="n">
        <f aca="false">(E117-192)-('Dati (2)'!A117-Parametri!$A$11)+Parametri!$A$2</f>
        <v>61</v>
      </c>
      <c r="I117" s="10" t="n">
        <f aca="false">F117</f>
        <v>0.115470053837925</v>
      </c>
      <c r="J117" s="10" t="n">
        <f aca="false">Parametri!$D$8</f>
        <v>0.115470053837925</v>
      </c>
    </row>
    <row r="118" customFormat="false" ht="17.25" hidden="false" customHeight="true" outlineLevel="0" collapsed="false">
      <c r="A118" s="8" t="n">
        <f aca="false">A117+50</f>
        <v>1025</v>
      </c>
      <c r="D118" s="9" t="n">
        <f aca="false">B118+2*E118</f>
        <v>2550</v>
      </c>
      <c r="E118" s="10" t="n">
        <v>1275</v>
      </c>
      <c r="F118" s="10" t="n">
        <f aca="false">IF(C118=0, Parametri!$D$8, ABS(B118-C118)/(2*SQRT(3)))</f>
        <v>0.115470053837925</v>
      </c>
      <c r="G118" s="10" t="n">
        <f aca="false">(A118-335)+135.8+(Parametri!$A$5/2)</f>
        <v>825.8</v>
      </c>
      <c r="H118" s="10" t="n">
        <f aca="false">(E118-192)-('Dati (2)'!A118-Parametri!$A$11)+Parametri!$A$2</f>
        <v>58</v>
      </c>
      <c r="I118" s="10" t="n">
        <f aca="false">F118</f>
        <v>0.115470053837925</v>
      </c>
      <c r="J118" s="10" t="n">
        <f aca="false">Parametri!$D$8</f>
        <v>0.115470053837925</v>
      </c>
    </row>
    <row r="119" customFormat="false" ht="17.25" hidden="false" customHeight="true" outlineLevel="0" collapsed="false">
      <c r="A119" s="8" t="n">
        <f aca="false">A118+50</f>
        <v>1075</v>
      </c>
      <c r="D119" s="9" t="n">
        <f aca="false">B119+2*E119</f>
        <v>2646</v>
      </c>
      <c r="E119" s="10" t="n">
        <v>1323</v>
      </c>
      <c r="F119" s="10" t="n">
        <f aca="false">IF(C119=0, Parametri!$D$8, ABS(B119-C119)/(2*SQRT(3)))</f>
        <v>0.115470053837925</v>
      </c>
      <c r="G119" s="10" t="n">
        <f aca="false">(A119-335)+135.8+(Parametri!$A$5/2)</f>
        <v>875.8</v>
      </c>
      <c r="H119" s="10" t="n">
        <f aca="false">(E119-192)-('Dati (2)'!A119-Parametri!$A$11)+Parametri!$A$2</f>
        <v>56</v>
      </c>
      <c r="I119" s="10" t="n">
        <f aca="false">F119</f>
        <v>0.115470053837925</v>
      </c>
      <c r="J119" s="10" t="n">
        <f aca="false">Parametri!$D$8</f>
        <v>0.115470053837925</v>
      </c>
    </row>
    <row r="120" customFormat="false" ht="17.25" hidden="false" customHeight="true" outlineLevel="0" collapsed="false">
      <c r="A120" s="8" t="n">
        <f aca="false">A119+100</f>
        <v>1175</v>
      </c>
      <c r="D120" s="9" t="n">
        <f aca="false">B120+2*E120</f>
        <v>2836</v>
      </c>
      <c r="E120" s="10" t="n">
        <v>1418</v>
      </c>
      <c r="F120" s="10" t="n">
        <f aca="false">IF(C120=0, Parametri!$D$8, ABS(B120-C120)/(2*SQRT(3)))</f>
        <v>0.115470053837925</v>
      </c>
      <c r="G120" s="10" t="n">
        <f aca="false">(A120-335)+135.8+(Parametri!$A$5/2)</f>
        <v>975.8</v>
      </c>
      <c r="H120" s="10" t="n">
        <f aca="false">(E120-192)-('Dati (2)'!A120-Parametri!$A$11)+Parametri!$A$2</f>
        <v>51</v>
      </c>
      <c r="I120" s="10" t="n">
        <f aca="false">F120</f>
        <v>0.115470053837925</v>
      </c>
      <c r="J120" s="10" t="n">
        <f aca="false">Parametri!$D$8</f>
        <v>0.115470053837925</v>
      </c>
    </row>
    <row r="121" customFormat="false" ht="17.25" hidden="false" customHeight="true" outlineLevel="0" collapsed="false">
      <c r="A121" s="8" t="n">
        <f aca="false">A120+100</f>
        <v>1275</v>
      </c>
      <c r="D121" s="9" t="n">
        <f aca="false">B121+2*E121</f>
        <v>3020</v>
      </c>
      <c r="E121" s="10" t="n">
        <v>1510</v>
      </c>
      <c r="F121" s="10" t="n">
        <f aca="false">IF(C121=0, Parametri!$D$8, ABS(B121-C121)/(2*SQRT(3)))</f>
        <v>0.115470053837925</v>
      </c>
      <c r="G121" s="10" t="n">
        <f aca="false">(A121-335)+135.8+(Parametri!$A$5/2)</f>
        <v>1075.8</v>
      </c>
      <c r="H121" s="10" t="n">
        <f aca="false">(E121-192)-('Dati (2)'!A121-Parametri!$A$11)+Parametri!$A$2</f>
        <v>43</v>
      </c>
      <c r="I121" s="10" t="n">
        <f aca="false">F121</f>
        <v>0.115470053837925</v>
      </c>
      <c r="J121" s="10" t="n">
        <f aca="false">Parametri!$D$8</f>
        <v>0.115470053837925</v>
      </c>
    </row>
    <row r="122" customFormat="false" ht="17.25" hidden="false" customHeight="true" outlineLevel="0" collapsed="false">
      <c r="A122" s="8" t="n">
        <f aca="false">A121+100</f>
        <v>1375</v>
      </c>
      <c r="D122" s="9" t="n">
        <f aca="false">B122+2*E122</f>
        <v>3218</v>
      </c>
      <c r="E122" s="10" t="n">
        <v>1609</v>
      </c>
      <c r="F122" s="10" t="n">
        <f aca="false">IF(C122=0, Parametri!$D$8, ABS(B122-C122)/(2*SQRT(3)))</f>
        <v>0.115470053837925</v>
      </c>
      <c r="G122" s="10" t="n">
        <f aca="false">(A122-335)+135.8+(Parametri!$A$5/2)</f>
        <v>1175.8</v>
      </c>
      <c r="H122" s="10" t="n">
        <f aca="false">(E122-192)-('Dati (2)'!A122-Parametri!$A$11)+Parametri!$A$2</f>
        <v>42</v>
      </c>
      <c r="I122" s="10" t="n">
        <f aca="false">F122</f>
        <v>0.115470053837925</v>
      </c>
      <c r="J122" s="10" t="n">
        <f aca="false">Parametri!$D$8</f>
        <v>0.115470053837925</v>
      </c>
    </row>
    <row r="123" customFormat="false" ht="17.25" hidden="false" customHeight="true" outlineLevel="0" collapsed="false">
      <c r="A123" s="8" t="n">
        <f aca="false">A122+100</f>
        <v>1475</v>
      </c>
      <c r="D123" s="9" t="n">
        <f aca="false">B123+2*E123</f>
        <v>3414</v>
      </c>
      <c r="E123" s="10" t="n">
        <v>1707</v>
      </c>
      <c r="F123" s="10" t="n">
        <f aca="false">IF(C123=0, Parametri!$D$8, ABS(B123-C123)/(2*SQRT(3)))</f>
        <v>0.115470053837925</v>
      </c>
      <c r="G123" s="10" t="n">
        <f aca="false">(A123-335)+135.8+(Parametri!$A$5/2)</f>
        <v>1275.8</v>
      </c>
      <c r="H123" s="10" t="n">
        <f aca="false">(E123-192)-('Dati (2)'!A123-Parametri!$A$11)+Parametri!$A$2</f>
        <v>40</v>
      </c>
      <c r="I123" s="10" t="n">
        <f aca="false">F123</f>
        <v>0.115470053837925</v>
      </c>
      <c r="J123" s="10" t="n">
        <f aca="false">Parametri!$D$8</f>
        <v>0.115470053837925</v>
      </c>
    </row>
    <row r="124" customFormat="false" ht="17.25" hidden="false" customHeight="true" outlineLevel="0" collapsed="false">
      <c r="A124" s="8" t="n">
        <f aca="false">A123+100</f>
        <v>1575</v>
      </c>
      <c r="D124" s="9" t="n">
        <f aca="false">B124+2*E124</f>
        <v>3606</v>
      </c>
      <c r="E124" s="10" t="n">
        <v>1803</v>
      </c>
      <c r="F124" s="10" t="n">
        <f aca="false">IF(C124=0, Parametri!$D$8, ABS(B124-C124)/(2*SQRT(3)))</f>
        <v>0.115470053837925</v>
      </c>
      <c r="G124" s="10" t="n">
        <f aca="false">(A124-335)+135.8+(Parametri!$A$5/2)</f>
        <v>1375.8</v>
      </c>
      <c r="H124" s="10" t="n">
        <f aca="false">(E124-192)-('Dati (2)'!A124-Parametri!$A$11)+Parametri!$A$2</f>
        <v>36</v>
      </c>
      <c r="I124" s="10" t="n">
        <f aca="false">F124</f>
        <v>0.115470053837925</v>
      </c>
      <c r="J124" s="10" t="n">
        <f aca="false">Parametri!$D$8</f>
        <v>0.115470053837925</v>
      </c>
    </row>
    <row r="125" customFormat="false" ht="17.25" hidden="false" customHeight="true" outlineLevel="0" collapsed="false">
      <c r="A125" s="8" t="n">
        <f aca="false">A124+100</f>
        <v>1675</v>
      </c>
      <c r="D125" s="9" t="n">
        <f aca="false">B125+2*E125</f>
        <v>3804</v>
      </c>
      <c r="E125" s="10" t="n">
        <v>1902</v>
      </c>
      <c r="F125" s="10" t="n">
        <f aca="false">IF(C125=0, Parametri!$D$8, ABS(B125-C125)/(2*SQRT(3)))</f>
        <v>0.115470053837925</v>
      </c>
      <c r="G125" s="10" t="n">
        <f aca="false">(A125-335)+135.8+(Parametri!$A$5/2)</f>
        <v>1475.8</v>
      </c>
      <c r="H125" s="10" t="n">
        <f aca="false">(E125-192)-('Dati (2)'!A125-Parametri!$A$11)+Parametri!$A$2</f>
        <v>35</v>
      </c>
      <c r="I125" s="10" t="n">
        <f aca="false">F125</f>
        <v>0.115470053837925</v>
      </c>
      <c r="J125" s="10" t="n">
        <f aca="false">Parametri!$D$8</f>
        <v>0.115470053837925</v>
      </c>
    </row>
    <row r="126" customFormat="false" ht="17.25" hidden="false" customHeight="true" outlineLevel="0" collapsed="false">
      <c r="H126" s="10"/>
    </row>
    <row r="127" customFormat="false" ht="17.25" hidden="false" customHeight="true" outlineLevel="0" collapsed="false">
      <c r="H127" s="10"/>
    </row>
    <row r="128" customFormat="false" ht="17.25" hidden="false" customHeight="true" outlineLevel="0" collapsed="false">
      <c r="H128" s="10"/>
    </row>
    <row r="129" customFormat="false" ht="17.25" hidden="false" customHeight="true" outlineLevel="0" collapsed="false">
      <c r="H129" s="10"/>
    </row>
    <row r="130" customFormat="false" ht="17.25" hidden="false" customHeight="true" outlineLevel="0" collapsed="false">
      <c r="H130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1" width="12.43"/>
    <col collapsed="false" customWidth="true" hidden="false" outlineLevel="0" max="3" min="3" style="1" width="12.43"/>
    <col collapsed="false" customWidth="true" hidden="false" outlineLevel="0" max="5" min="4" style="11" width="12.43"/>
    <col collapsed="false" customWidth="true" hidden="false" outlineLevel="0" max="6" min="6" style="2" width="12.43"/>
    <col collapsed="false" customWidth="true" hidden="false" outlineLevel="0" max="7" min="7" style="11" width="12.43"/>
    <col collapsed="false" customWidth="true" hidden="false" outlineLevel="0" max="10" min="8" style="2" width="12.43"/>
  </cols>
  <sheetData>
    <row r="1" customFormat="false" ht="17.25" hidden="false" customHeight="true" outlineLevel="0" collapsed="false">
      <c r="A1" s="11" t="s">
        <v>14</v>
      </c>
      <c r="B1" s="11" t="s">
        <v>15</v>
      </c>
      <c r="C1" s="1" t="s">
        <v>16</v>
      </c>
      <c r="D1" s="11" t="s">
        <v>17</v>
      </c>
      <c r="E1" s="11" t="s">
        <v>18</v>
      </c>
      <c r="F1" s="2" t="s">
        <v>9</v>
      </c>
      <c r="G1" s="11" t="s">
        <v>19</v>
      </c>
      <c r="H1" s="2" t="s">
        <v>20</v>
      </c>
      <c r="I1" s="2" t="s">
        <v>21</v>
      </c>
      <c r="J1" s="2" t="s">
        <v>22</v>
      </c>
    </row>
    <row r="2" customFormat="false" ht="17.25" hidden="false" customHeight="true" outlineLevel="0" collapsed="false">
      <c r="A2" s="8" t="n">
        <v>270</v>
      </c>
      <c r="D2" s="9" t="n">
        <f aca="false">B2+2*E2</f>
        <v>0</v>
      </c>
      <c r="E2" s="9" t="n">
        <f aca="false">IF(C2=0, B2, mean(B2:C2))</f>
        <v>0</v>
      </c>
      <c r="F2" s="10" t="n">
        <f aca="false">IF(C2=0, Parametri!$D$8, ABS(B2-C2)/(2*SQRT(3)))</f>
        <v>0.115470053837925</v>
      </c>
      <c r="G2" s="9" t="n">
        <f aca="false">(A2-Parametri!$A$11)+Parametri!$A$2+(Parametri!$A$5/2)</f>
        <v>270</v>
      </c>
      <c r="H2" s="10" t="n">
        <f aca="false">(E2-Parametri!$A$8)-(Dati!A2-Parametri!$A$11)+Parametri!$A$2</f>
        <v>-270</v>
      </c>
      <c r="I2" s="10" t="n">
        <f aca="false">F2</f>
        <v>0.115470053837925</v>
      </c>
      <c r="J2" s="10" t="n">
        <f aca="false">Parametri!$D$8</f>
        <v>0.115470053837925</v>
      </c>
    </row>
    <row r="3" customFormat="false" ht="17.25" hidden="false" customHeight="true" outlineLevel="0" collapsed="false">
      <c r="A3" s="8" t="n">
        <f aca="false">A2+1</f>
        <v>271</v>
      </c>
      <c r="D3" s="9" t="n">
        <f aca="false">B3+2*E3</f>
        <v>0</v>
      </c>
      <c r="E3" s="9" t="n">
        <f aca="false">IF(C3=0, B3, mean(B3:C3))</f>
        <v>0</v>
      </c>
      <c r="F3" s="10" t="n">
        <f aca="false">IF(C3=0, Parametri!$D$8, ABS(B3-C3)/(2*SQRT(3)))</f>
        <v>0.115470053837925</v>
      </c>
      <c r="G3" s="9" t="n">
        <f aca="false">(A3-Parametri!$A$11)+Parametri!$A$2+(Parametri!$A$5/2)</f>
        <v>271</v>
      </c>
      <c r="H3" s="10" t="n">
        <f aca="false">(E3-Parametri!$A$8)-(Dati!A3-Parametri!$A$11)+Parametri!$A$2</f>
        <v>-271</v>
      </c>
      <c r="I3" s="10" t="n">
        <f aca="false">F3</f>
        <v>0.115470053837925</v>
      </c>
      <c r="J3" s="10" t="n">
        <f aca="false">Parametri!$D$8</f>
        <v>0.115470053837925</v>
      </c>
    </row>
    <row r="4" customFormat="false" ht="17.25" hidden="false" customHeight="true" outlineLevel="0" collapsed="false">
      <c r="A4" s="8" t="n">
        <f aca="false">IF(C133=0, B133, mean(B133:C133))</f>
        <v>0</v>
      </c>
      <c r="D4" s="9" t="n">
        <f aca="false">B4+2*E4</f>
        <v>0</v>
      </c>
      <c r="E4" s="9" t="n">
        <f aca="false">IF(C4=0, B4, mean(B4:C4))</f>
        <v>0</v>
      </c>
      <c r="F4" s="10" t="n">
        <f aca="false">IF(C4=0, Parametri!$D$8, ABS(B4-C4)/(2*SQRT(3)))</f>
        <v>0.115470053837925</v>
      </c>
      <c r="G4" s="9" t="n">
        <f aca="false">(A4-Parametri!$A$11)+Parametri!$A$2+(Parametri!$A$5/2)</f>
        <v>0</v>
      </c>
      <c r="H4" s="10" t="n">
        <f aca="false">(E4-Parametri!$A$8)-(Dati!A4-Parametri!$A$11)+Parametri!$A$2</f>
        <v>0</v>
      </c>
      <c r="I4" s="10" t="n">
        <f aca="false">F4</f>
        <v>0.115470053837925</v>
      </c>
      <c r="J4" s="10" t="n">
        <f aca="false">Parametri!$D$8</f>
        <v>0.115470053837925</v>
      </c>
    </row>
    <row r="5" customFormat="false" ht="17.25" hidden="false" customHeight="true" outlineLevel="0" collapsed="false">
      <c r="A5" s="8" t="n">
        <f aca="false">IF(C134=0, B134, mean(B134:C134))</f>
        <v>0</v>
      </c>
      <c r="D5" s="9" t="n">
        <f aca="false">B5+2*E5</f>
        <v>0</v>
      </c>
      <c r="E5" s="9" t="n">
        <f aca="false">IF(C5=0, B5, mean(B5:C5))</f>
        <v>0</v>
      </c>
      <c r="F5" s="10" t="n">
        <f aca="false">IF(C5=0, Parametri!$D$8, ABS(B5-C5)/(2*SQRT(3)))</f>
        <v>0.115470053837925</v>
      </c>
      <c r="G5" s="9" t="n">
        <f aca="false">(A5-Parametri!$A$11)+Parametri!$A$2+(Parametri!$A$5/2)</f>
        <v>0</v>
      </c>
      <c r="H5" s="10" t="n">
        <f aca="false">(E5-Parametri!$A$8)-(Dati!A5-Parametri!$A$11)+Parametri!$A$2</f>
        <v>0</v>
      </c>
      <c r="I5" s="10" t="n">
        <f aca="false">F5</f>
        <v>0.115470053837925</v>
      </c>
      <c r="J5" s="10" t="n">
        <f aca="false">Parametri!$D$8</f>
        <v>0.115470053837925</v>
      </c>
    </row>
    <row r="6" customFormat="false" ht="17.25" hidden="false" customHeight="true" outlineLevel="0" collapsed="false">
      <c r="A6" s="8" t="n">
        <f aca="false">IF(C135=0, B135, mean(B135:C135))</f>
        <v>0</v>
      </c>
      <c r="D6" s="9" t="n">
        <f aca="false">B6+2*E6</f>
        <v>0</v>
      </c>
      <c r="E6" s="9" t="n">
        <f aca="false">IF(C6=0, B6, mean(B6:C6))</f>
        <v>0</v>
      </c>
      <c r="F6" s="10" t="n">
        <f aca="false">IF(C6=0, Parametri!$D$8, ABS(B6-C6)/(2*SQRT(3)))</f>
        <v>0.115470053837925</v>
      </c>
      <c r="G6" s="9" t="n">
        <f aca="false">(A6-Parametri!$A$11)+Parametri!$A$2+(Parametri!$A$5/2)</f>
        <v>0</v>
      </c>
      <c r="H6" s="10" t="n">
        <f aca="false">(E6-Parametri!$A$8)-(Dati!A6-Parametri!$A$11)+Parametri!$A$2</f>
        <v>0</v>
      </c>
      <c r="I6" s="10" t="n">
        <f aca="false">F6</f>
        <v>0.115470053837925</v>
      </c>
      <c r="J6" s="10" t="n">
        <f aca="false">Parametri!$D$8</f>
        <v>0.115470053837925</v>
      </c>
    </row>
    <row r="7" customFormat="false" ht="17.25" hidden="false" customHeight="true" outlineLevel="0" collapsed="false">
      <c r="A7" s="8" t="n">
        <f aca="false">IF(C136=0, B136, mean(B136:C136))</f>
        <v>0</v>
      </c>
      <c r="D7" s="9" t="n">
        <f aca="false">B7+2*E7</f>
        <v>0</v>
      </c>
      <c r="E7" s="9" t="n">
        <f aca="false">IF(C7=0, B7, mean(B7:C7))</f>
        <v>0</v>
      </c>
      <c r="F7" s="10" t="n">
        <f aca="false">IF(C7=0, Parametri!$D$8, ABS(B7-C7)/(2*SQRT(3)))</f>
        <v>0.115470053837925</v>
      </c>
      <c r="G7" s="9" t="n">
        <f aca="false">(A7-Parametri!$A$11)+Parametri!$A$2+(Parametri!$A$5/2)</f>
        <v>0</v>
      </c>
      <c r="H7" s="10" t="n">
        <f aca="false">(E7-Parametri!$A$8)-(Dati!A7-Parametri!$A$11)+Parametri!$A$2</f>
        <v>0</v>
      </c>
      <c r="I7" s="10" t="n">
        <f aca="false">F7</f>
        <v>0.115470053837925</v>
      </c>
      <c r="J7" s="10" t="n">
        <f aca="false">Parametri!$D$8</f>
        <v>0.115470053837925</v>
      </c>
    </row>
    <row r="8" customFormat="false" ht="17.25" hidden="false" customHeight="true" outlineLevel="0" collapsed="false">
      <c r="A8" s="8" t="n">
        <f aca="false">IF(C137=0, B137, mean(B137:C137))</f>
        <v>0</v>
      </c>
      <c r="D8" s="9" t="n">
        <f aca="false">B8+2*E8</f>
        <v>0</v>
      </c>
      <c r="E8" s="9" t="n">
        <f aca="false">IF(C8=0, B8, mean(B8:C8))</f>
        <v>0</v>
      </c>
      <c r="F8" s="10" t="n">
        <f aca="false">IF(C8=0, Parametri!$D$8, ABS(B8-C8)/(2*SQRT(3)))</f>
        <v>0.115470053837925</v>
      </c>
      <c r="G8" s="9" t="n">
        <f aca="false">(A8-Parametri!$A$11)+Parametri!$A$2+(Parametri!$A$5/2)</f>
        <v>0</v>
      </c>
      <c r="H8" s="10" t="n">
        <f aca="false">(E8-Parametri!$A$8)-(Dati!A8-Parametri!$A$11)+Parametri!$A$2</f>
        <v>0</v>
      </c>
      <c r="I8" s="10" t="n">
        <f aca="false">F8</f>
        <v>0.115470053837925</v>
      </c>
      <c r="J8" s="10" t="n">
        <f aca="false">Parametri!$D$8</f>
        <v>0.115470053837925</v>
      </c>
    </row>
    <row r="9" customFormat="false" ht="17.25" hidden="false" customHeight="true" outlineLevel="0" collapsed="false">
      <c r="A9" s="8" t="n">
        <f aca="false">IF(C138=0, B138, mean(B138:C138))</f>
        <v>0</v>
      </c>
      <c r="D9" s="9" t="n">
        <f aca="false">B9+2*E9</f>
        <v>0</v>
      </c>
      <c r="E9" s="9" t="n">
        <f aca="false">IF(C9=0, B9, mean(B9:C9))</f>
        <v>0</v>
      </c>
      <c r="F9" s="10" t="n">
        <f aca="false">IF(C9=0, Parametri!$D$8, ABS(B9-C9)/(2*SQRT(3)))</f>
        <v>0.115470053837925</v>
      </c>
      <c r="G9" s="9" t="n">
        <f aca="false">(A9-Parametri!$A$11)+Parametri!$A$2+(Parametri!$A$5/2)</f>
        <v>0</v>
      </c>
      <c r="H9" s="10" t="n">
        <f aca="false">(E9-Parametri!$A$8)-(Dati!A9-Parametri!$A$11)+Parametri!$A$2</f>
        <v>0</v>
      </c>
      <c r="I9" s="10" t="n">
        <f aca="false">F9</f>
        <v>0.115470053837925</v>
      </c>
      <c r="J9" s="10" t="n">
        <f aca="false">Parametri!$D$8</f>
        <v>0.115470053837925</v>
      </c>
    </row>
    <row r="10" customFormat="false" ht="17.25" hidden="false" customHeight="true" outlineLevel="0" collapsed="false">
      <c r="A10" s="8" t="n">
        <f aca="false">IF(C139=0, B139, mean(B139:C139))</f>
        <v>0</v>
      </c>
      <c r="D10" s="9" t="n">
        <f aca="false">B10+2*E10</f>
        <v>0</v>
      </c>
      <c r="E10" s="9" t="n">
        <f aca="false">IF(C10=0, B10, mean(B10:C10))</f>
        <v>0</v>
      </c>
      <c r="F10" s="10" t="n">
        <f aca="false">IF(C10=0, Parametri!$D$8, ABS(B10-C10)/(2*SQRT(3)))</f>
        <v>0.115470053837925</v>
      </c>
      <c r="G10" s="9" t="n">
        <f aca="false">(A10-Parametri!$A$11)+Parametri!$A$2+(Parametri!$A$5/2)</f>
        <v>0</v>
      </c>
      <c r="H10" s="10" t="n">
        <f aca="false">(E10-Parametri!$A$8)-(Dati!A10-Parametri!$A$11)+Parametri!$A$2</f>
        <v>0</v>
      </c>
      <c r="I10" s="10" t="n">
        <f aca="false">F10</f>
        <v>0.115470053837925</v>
      </c>
      <c r="J10" s="10" t="n">
        <f aca="false">Parametri!$D$8</f>
        <v>0.115470053837925</v>
      </c>
    </row>
    <row r="11" customFormat="false" ht="17.25" hidden="false" customHeight="true" outlineLevel="0" collapsed="false">
      <c r="A11" s="8" t="n">
        <f aca="false">IF(C140=0, B140, mean(B140:C140))</f>
        <v>0</v>
      </c>
      <c r="D11" s="9" t="n">
        <f aca="false">B11+2*E11</f>
        <v>0</v>
      </c>
      <c r="E11" s="9" t="n">
        <f aca="false">IF(C11=0, B11, mean(B11:C11))</f>
        <v>0</v>
      </c>
      <c r="F11" s="10" t="n">
        <f aca="false">IF(C11=0, Parametri!$D$8, ABS(B11-C11)/(2*SQRT(3)))</f>
        <v>0.115470053837925</v>
      </c>
      <c r="G11" s="9" t="n">
        <f aca="false">(A11-Parametri!$A$11)+Parametri!$A$2+(Parametri!$A$5/2)</f>
        <v>0</v>
      </c>
      <c r="H11" s="10" t="n">
        <f aca="false">(E11-Parametri!$A$8)-(Dati!A11-Parametri!$A$11)+Parametri!$A$2</f>
        <v>0</v>
      </c>
      <c r="I11" s="10" t="n">
        <f aca="false">F11</f>
        <v>0.115470053837925</v>
      </c>
      <c r="J11" s="10" t="n">
        <f aca="false">Parametri!$D$8</f>
        <v>0.115470053837925</v>
      </c>
    </row>
    <row r="12" customFormat="false" ht="17.25" hidden="false" customHeight="true" outlineLevel="0" collapsed="false">
      <c r="A12" s="8" t="n">
        <f aca="false">IF(C141=0, B141, mean(B141:C141))</f>
        <v>0</v>
      </c>
      <c r="D12" s="9" t="n">
        <f aca="false">B12+2*E12</f>
        <v>0</v>
      </c>
      <c r="E12" s="9" t="n">
        <f aca="false">IF(C12=0, B12, mean(B12:C12))</f>
        <v>0</v>
      </c>
      <c r="F12" s="10" t="n">
        <f aca="false">IF(C12=0, Parametri!$D$8, ABS(B12-C12)/(2*SQRT(3)))</f>
        <v>0.115470053837925</v>
      </c>
      <c r="G12" s="9" t="n">
        <f aca="false">(A12-Parametri!$A$11)+Parametri!$A$2+(Parametri!$A$5/2)</f>
        <v>0</v>
      </c>
      <c r="H12" s="10" t="n">
        <f aca="false">(E12-Parametri!$A$8)-(Dati!A12-Parametri!$A$11)+Parametri!$A$2</f>
        <v>0</v>
      </c>
      <c r="I12" s="10" t="n">
        <f aca="false">F12</f>
        <v>0.115470053837925</v>
      </c>
      <c r="J12" s="10" t="n">
        <f aca="false">Parametri!$D$8</f>
        <v>0.115470053837925</v>
      </c>
    </row>
    <row r="13" customFormat="false" ht="17.25" hidden="false" customHeight="true" outlineLevel="0" collapsed="false">
      <c r="A13" s="8" t="n">
        <f aca="false">IF(C142=0, B142, mean(B142:C142))</f>
        <v>0</v>
      </c>
      <c r="D13" s="9" t="n">
        <f aca="false">B13+2*E13</f>
        <v>0</v>
      </c>
      <c r="E13" s="9" t="n">
        <f aca="false">IF(C13=0, B13, mean(B13:C13))</f>
        <v>0</v>
      </c>
      <c r="F13" s="10" t="n">
        <f aca="false">IF(C13=0, Parametri!$D$8, ABS(B13-C13)/(2*SQRT(3)))</f>
        <v>0.115470053837925</v>
      </c>
      <c r="G13" s="9" t="n">
        <f aca="false">(A13-Parametri!$A$11)+Parametri!$A$2+(Parametri!$A$5/2)</f>
        <v>0</v>
      </c>
      <c r="H13" s="10" t="n">
        <f aca="false">(E13-Parametri!$A$8)-(Dati!A13-Parametri!$A$11)+Parametri!$A$2</f>
        <v>0</v>
      </c>
      <c r="I13" s="10" t="n">
        <f aca="false">F13</f>
        <v>0.115470053837925</v>
      </c>
      <c r="J13" s="10" t="n">
        <f aca="false">Parametri!$D$8</f>
        <v>0.115470053837925</v>
      </c>
    </row>
    <row r="14" customFormat="false" ht="17.25" hidden="false" customHeight="true" outlineLevel="0" collapsed="false">
      <c r="A14" s="8" t="n">
        <f aca="false">IF(C143=0, B143, mean(B143:C143))</f>
        <v>0</v>
      </c>
      <c r="D14" s="9" t="n">
        <f aca="false">B14+2*E14</f>
        <v>0</v>
      </c>
      <c r="E14" s="9" t="n">
        <f aca="false">IF(C14=0, B14, mean(B14:C14))</f>
        <v>0</v>
      </c>
      <c r="F14" s="10" t="n">
        <f aca="false">IF(C14=0, Parametri!$D$8, ABS(B14-C14)/(2*SQRT(3)))</f>
        <v>0.115470053837925</v>
      </c>
      <c r="G14" s="9" t="n">
        <f aca="false">(A14-Parametri!$A$11)+Parametri!$A$2+(Parametri!$A$5/2)</f>
        <v>0</v>
      </c>
      <c r="H14" s="10" t="n">
        <f aca="false">(E14-Parametri!$A$8)-(Dati!A14-Parametri!$A$11)+Parametri!$A$2</f>
        <v>0</v>
      </c>
      <c r="I14" s="10" t="n">
        <f aca="false">F14</f>
        <v>0.115470053837925</v>
      </c>
      <c r="J14" s="10" t="n">
        <f aca="false">Parametri!$D$8</f>
        <v>0.115470053837925</v>
      </c>
    </row>
    <row r="15" customFormat="false" ht="17.25" hidden="false" customHeight="true" outlineLevel="0" collapsed="false">
      <c r="A15" s="8" t="n">
        <f aca="false">IF(C144=0, B144, mean(B144:C144))</f>
        <v>0</v>
      </c>
      <c r="D15" s="9" t="n">
        <f aca="false">B15+2*E15</f>
        <v>0</v>
      </c>
      <c r="E15" s="9" t="n">
        <f aca="false">IF(C15=0, B15, mean(B15:C15))</f>
        <v>0</v>
      </c>
      <c r="F15" s="10" t="n">
        <f aca="false">IF(C15=0, Parametri!$D$8, ABS(B15-C15)/(2*SQRT(3)))</f>
        <v>0.115470053837925</v>
      </c>
      <c r="G15" s="9" t="n">
        <f aca="false">(A15-Parametri!$A$11)+Parametri!$A$2+(Parametri!$A$5/2)</f>
        <v>0</v>
      </c>
      <c r="H15" s="10" t="n">
        <f aca="false">(E15-Parametri!$A$8)-(Dati!A15-Parametri!$A$11)+Parametri!$A$2</f>
        <v>0</v>
      </c>
      <c r="I15" s="10" t="n">
        <f aca="false">F15</f>
        <v>0.115470053837925</v>
      </c>
      <c r="J15" s="10" t="n">
        <f aca="false">Parametri!$D$8</f>
        <v>0.115470053837925</v>
      </c>
    </row>
    <row r="16" customFormat="false" ht="17.25" hidden="false" customHeight="true" outlineLevel="0" collapsed="false">
      <c r="A16" s="8" t="n">
        <f aca="false">IF(C145=0, B145, mean(B145:C145))</f>
        <v>0</v>
      </c>
      <c r="D16" s="9" t="n">
        <f aca="false">B16+2*E16</f>
        <v>0</v>
      </c>
      <c r="E16" s="9" t="n">
        <f aca="false">IF(C16=0, B16, mean(B16:C16))</f>
        <v>0</v>
      </c>
      <c r="F16" s="10" t="n">
        <f aca="false">IF(C16=0, Parametri!$D$8, ABS(B16-C16)/(2*SQRT(3)))</f>
        <v>0.115470053837925</v>
      </c>
      <c r="G16" s="9" t="n">
        <f aca="false">(A16-Parametri!$A$11)+Parametri!$A$2+(Parametri!$A$5/2)</f>
        <v>0</v>
      </c>
      <c r="H16" s="10" t="n">
        <f aca="false">(E16-Parametri!$A$8)-(Dati!A16-Parametri!$A$11)+Parametri!$A$2</f>
        <v>0</v>
      </c>
      <c r="I16" s="10" t="n">
        <f aca="false">F16</f>
        <v>0.115470053837925</v>
      </c>
      <c r="J16" s="10" t="n">
        <f aca="false">Parametri!$D$8</f>
        <v>0.115470053837925</v>
      </c>
    </row>
    <row r="17" customFormat="false" ht="17.25" hidden="false" customHeight="true" outlineLevel="0" collapsed="false">
      <c r="A17" s="8" t="n">
        <f aca="false">IF(C146=0, B146, mean(B146:C146))</f>
        <v>0</v>
      </c>
      <c r="D17" s="9" t="n">
        <f aca="false">B17+2*E17</f>
        <v>0</v>
      </c>
      <c r="E17" s="9" t="n">
        <f aca="false">IF(C17=0, B17, mean(B17:C17))</f>
        <v>0</v>
      </c>
      <c r="F17" s="10" t="n">
        <f aca="false">IF(C17=0, Parametri!$D$8, ABS(B17-C17)/(2*SQRT(3)))</f>
        <v>0.115470053837925</v>
      </c>
      <c r="G17" s="9" t="n">
        <f aca="false">(A17-Parametri!$A$11)+Parametri!$A$2+(Parametri!$A$5/2)</f>
        <v>0</v>
      </c>
      <c r="H17" s="10" t="n">
        <f aca="false">(E17-Parametri!$A$8)-(Dati!A17-Parametri!$A$11)+Parametri!$A$2</f>
        <v>0</v>
      </c>
      <c r="I17" s="10" t="n">
        <f aca="false">F17</f>
        <v>0.115470053837925</v>
      </c>
      <c r="J17" s="10" t="n">
        <f aca="false">Parametri!$D$8</f>
        <v>0.115470053837925</v>
      </c>
    </row>
    <row r="18" customFormat="false" ht="17.25" hidden="false" customHeight="true" outlineLevel="0" collapsed="false">
      <c r="A18" s="8" t="n">
        <f aca="false">IF(C147=0, B147, mean(B147:C147))</f>
        <v>0</v>
      </c>
      <c r="D18" s="9" t="n">
        <f aca="false">B18+2*E18</f>
        <v>0</v>
      </c>
      <c r="E18" s="9" t="n">
        <f aca="false">IF(C18=0, B18, mean(B18:C18))</f>
        <v>0</v>
      </c>
      <c r="F18" s="10" t="n">
        <f aca="false">IF(C18=0, Parametri!$D$8, ABS(B18-C18)/(2*SQRT(3)))</f>
        <v>0.115470053837925</v>
      </c>
      <c r="G18" s="9" t="n">
        <f aca="false">(A18-Parametri!$A$11)+Parametri!$A$2+(Parametri!$A$5/2)</f>
        <v>0</v>
      </c>
      <c r="H18" s="10" t="n">
        <f aca="false">(E18-Parametri!$A$8)-(Dati!A18-Parametri!$A$11)+Parametri!$A$2</f>
        <v>0</v>
      </c>
      <c r="I18" s="10" t="n">
        <f aca="false">F18</f>
        <v>0.115470053837925</v>
      </c>
      <c r="J18" s="10" t="n">
        <f aca="false">Parametri!$D$8</f>
        <v>0.115470053837925</v>
      </c>
    </row>
    <row r="19" customFormat="false" ht="17.25" hidden="false" customHeight="true" outlineLevel="0" collapsed="false">
      <c r="A19" s="8" t="n">
        <f aca="false">IF(C148=0, B148, mean(B148:C148))</f>
        <v>0</v>
      </c>
      <c r="D19" s="9" t="n">
        <f aca="false">B19+2*E19</f>
        <v>0</v>
      </c>
      <c r="E19" s="9" t="n">
        <f aca="false">IF(C19=0, B19, mean(B19:C19))</f>
        <v>0</v>
      </c>
      <c r="F19" s="10" t="n">
        <f aca="false">IF(C19=0, Parametri!$D$8, ABS(B19-C19)/(2*SQRT(3)))</f>
        <v>0.115470053837925</v>
      </c>
      <c r="G19" s="9" t="n">
        <f aca="false">(A19-Parametri!$A$11)+Parametri!$A$2+(Parametri!$A$5/2)</f>
        <v>0</v>
      </c>
      <c r="H19" s="10" t="n">
        <f aca="false">(E19-Parametri!$A$8)-(Dati!A19-Parametri!$A$11)+Parametri!$A$2</f>
        <v>0</v>
      </c>
      <c r="I19" s="10" t="n">
        <f aca="false">F19</f>
        <v>0.115470053837925</v>
      </c>
      <c r="J19" s="10" t="n">
        <f aca="false">Parametri!$D$8</f>
        <v>0.115470053837925</v>
      </c>
    </row>
    <row r="20" customFormat="false" ht="17.25" hidden="false" customHeight="true" outlineLevel="0" collapsed="false">
      <c r="A20" s="8" t="n">
        <f aca="false">IF(C149=0, B149, mean(B149:C149))</f>
        <v>0</v>
      </c>
      <c r="D20" s="9" t="n">
        <f aca="false">B20+2*E20</f>
        <v>0</v>
      </c>
      <c r="E20" s="9" t="n">
        <f aca="false">IF(C20=0, B20, mean(B20:C20))</f>
        <v>0</v>
      </c>
      <c r="F20" s="10" t="n">
        <f aca="false">IF(C20=0, Parametri!$D$8, ABS(B20-C20)/(2*SQRT(3)))</f>
        <v>0.115470053837925</v>
      </c>
      <c r="G20" s="9" t="n">
        <f aca="false">(A20-Parametri!$A$11)+Parametri!$A$2+(Parametri!$A$5/2)</f>
        <v>0</v>
      </c>
      <c r="H20" s="10" t="n">
        <f aca="false">(E20-Parametri!$A$8)-(Dati!A20-Parametri!$A$11)+Parametri!$A$2</f>
        <v>0</v>
      </c>
      <c r="I20" s="10" t="n">
        <f aca="false">F20</f>
        <v>0.115470053837925</v>
      </c>
      <c r="J20" s="10" t="n">
        <f aca="false">Parametri!$D$8</f>
        <v>0.115470053837925</v>
      </c>
    </row>
    <row r="21" customFormat="false" ht="17.25" hidden="false" customHeight="true" outlineLevel="0" collapsed="false">
      <c r="A21" s="8" t="n">
        <f aca="false">IF(C150=0, B150, mean(B150:C150))</f>
        <v>0</v>
      </c>
      <c r="D21" s="9" t="n">
        <f aca="false">B21+2*E21</f>
        <v>0</v>
      </c>
      <c r="E21" s="9" t="n">
        <f aca="false">IF(C21=0, B21, mean(B21:C21))</f>
        <v>0</v>
      </c>
      <c r="F21" s="10" t="n">
        <f aca="false">IF(C21=0, Parametri!$D$8, ABS(B21-C21)/(2*SQRT(3)))</f>
        <v>0.115470053837925</v>
      </c>
      <c r="G21" s="9" t="n">
        <f aca="false">(A21-Parametri!$A$11)+Parametri!$A$2+(Parametri!$A$5/2)</f>
        <v>0</v>
      </c>
      <c r="H21" s="10" t="n">
        <f aca="false">(E21-Parametri!$A$8)-(Dati!A21-Parametri!$A$11)+Parametri!$A$2</f>
        <v>0</v>
      </c>
      <c r="I21" s="10" t="n">
        <f aca="false">F21</f>
        <v>0.115470053837925</v>
      </c>
      <c r="J21" s="10" t="n">
        <f aca="false">Parametri!$D$8</f>
        <v>0.115470053837925</v>
      </c>
    </row>
    <row r="22" customFormat="false" ht="17.25" hidden="false" customHeight="true" outlineLevel="0" collapsed="false">
      <c r="A22" s="8" t="n">
        <f aca="false">IF(C151=0, B151, mean(B151:C151))</f>
        <v>0</v>
      </c>
      <c r="D22" s="9" t="n">
        <f aca="false">B22+2*E22</f>
        <v>0</v>
      </c>
      <c r="E22" s="9" t="n">
        <f aca="false">IF(C22=0, B22, mean(B22:C22))</f>
        <v>0</v>
      </c>
      <c r="F22" s="10" t="n">
        <f aca="false">IF(C22=0, Parametri!$D$8, ABS(B22-C22)/(2*SQRT(3)))</f>
        <v>0.115470053837925</v>
      </c>
      <c r="G22" s="9" t="n">
        <f aca="false">(A22-Parametri!$A$11)+Parametri!$A$2+(Parametri!$A$5/2)</f>
        <v>0</v>
      </c>
      <c r="H22" s="10" t="n">
        <f aca="false">(E22-Parametri!$A$8)-(Dati!A22-Parametri!$A$11)+Parametri!$A$2</f>
        <v>0</v>
      </c>
      <c r="I22" s="10" t="n">
        <f aca="false">F22</f>
        <v>0.115470053837925</v>
      </c>
      <c r="J22" s="10" t="n">
        <f aca="false">Parametri!$D$8</f>
        <v>0.115470053837925</v>
      </c>
    </row>
    <row r="23" customFormat="false" ht="17.25" hidden="false" customHeight="true" outlineLevel="0" collapsed="false">
      <c r="A23" s="8" t="n">
        <f aca="false">IF(C152=0, B152, mean(B152:C152))</f>
        <v>0</v>
      </c>
      <c r="D23" s="9" t="n">
        <f aca="false">B23+2*E23</f>
        <v>0</v>
      </c>
      <c r="E23" s="9" t="n">
        <f aca="false">IF(C23=0, B23, mean(B23:C23))</f>
        <v>0</v>
      </c>
      <c r="F23" s="10" t="n">
        <f aca="false">IF(C23=0, Parametri!$D$8, ABS(B23-C23)/(2*SQRT(3)))</f>
        <v>0.115470053837925</v>
      </c>
      <c r="G23" s="9" t="n">
        <f aca="false">(A23-Parametri!$A$11)+Parametri!$A$2+(Parametri!$A$5/2)</f>
        <v>0</v>
      </c>
      <c r="H23" s="10" t="n">
        <f aca="false">(E23-Parametri!$A$8)-(Dati!A23-Parametri!$A$11)+Parametri!$A$2</f>
        <v>0</v>
      </c>
      <c r="I23" s="10" t="n">
        <f aca="false">F23</f>
        <v>0.115470053837925</v>
      </c>
      <c r="J23" s="10" t="n">
        <f aca="false">Parametri!$D$8</f>
        <v>0.115470053837925</v>
      </c>
    </row>
    <row r="24" customFormat="false" ht="17.25" hidden="false" customHeight="true" outlineLevel="0" collapsed="false">
      <c r="A24" s="8" t="n">
        <f aca="false">IF(C153=0, B153, mean(B153:C153))</f>
        <v>0</v>
      </c>
      <c r="D24" s="9" t="n">
        <f aca="false">B24+2*E24</f>
        <v>0</v>
      </c>
      <c r="E24" s="9" t="n">
        <f aca="false">IF(C24=0, B24, mean(B24:C24))</f>
        <v>0</v>
      </c>
      <c r="F24" s="10" t="n">
        <f aca="false">IF(C24=0, Parametri!$D$8, ABS(B24-C24)/(2*SQRT(3)))</f>
        <v>0.115470053837925</v>
      </c>
      <c r="G24" s="9" t="n">
        <f aca="false">(A24-Parametri!$A$11)+Parametri!$A$2+(Parametri!$A$5/2)</f>
        <v>0</v>
      </c>
      <c r="H24" s="10" t="n">
        <f aca="false">(E24-Parametri!$A$8)-(Dati!A24-Parametri!$A$11)+Parametri!$A$2</f>
        <v>0</v>
      </c>
      <c r="I24" s="10" t="n">
        <f aca="false">F24</f>
        <v>0.115470053837925</v>
      </c>
      <c r="J24" s="10" t="n">
        <f aca="false">Parametri!$D$8</f>
        <v>0.115470053837925</v>
      </c>
    </row>
    <row r="25" customFormat="false" ht="17.25" hidden="false" customHeight="true" outlineLevel="0" collapsed="false">
      <c r="A25" s="8" t="n">
        <f aca="false">IF(C154=0, B154, mean(B154:C154))</f>
        <v>0</v>
      </c>
      <c r="D25" s="9" t="n">
        <f aca="false">B25+2*E25</f>
        <v>0</v>
      </c>
      <c r="E25" s="9" t="n">
        <f aca="false">IF(C25=0, B25, mean(B25:C25))</f>
        <v>0</v>
      </c>
      <c r="F25" s="10" t="n">
        <f aca="false">IF(C25=0, Parametri!$D$8, ABS(B25-C25)/(2*SQRT(3)))</f>
        <v>0.115470053837925</v>
      </c>
      <c r="G25" s="9" t="n">
        <f aca="false">(A25-Parametri!$A$11)+Parametri!$A$2+(Parametri!$A$5/2)</f>
        <v>0</v>
      </c>
      <c r="H25" s="10" t="n">
        <f aca="false">(E25-Parametri!$A$8)-(Dati!A25-Parametri!$A$11)+Parametri!$A$2</f>
        <v>0</v>
      </c>
      <c r="I25" s="10" t="n">
        <f aca="false">F25</f>
        <v>0.115470053837925</v>
      </c>
      <c r="J25" s="10" t="n">
        <f aca="false">Parametri!$D$8</f>
        <v>0.115470053837925</v>
      </c>
    </row>
    <row r="26" customFormat="false" ht="17.25" hidden="false" customHeight="true" outlineLevel="0" collapsed="false">
      <c r="A26" s="8" t="n">
        <f aca="false">IF(C155=0, B155, mean(B155:C155))</f>
        <v>0</v>
      </c>
      <c r="D26" s="9" t="n">
        <f aca="false">B26+2*E26</f>
        <v>0</v>
      </c>
      <c r="E26" s="9" t="n">
        <f aca="false">IF(C26=0, B26, mean(B26:C26))</f>
        <v>0</v>
      </c>
      <c r="F26" s="10" t="n">
        <f aca="false">IF(C26=0, Parametri!$D$8, ABS(B26-C26)/(2*SQRT(3)))</f>
        <v>0.115470053837925</v>
      </c>
      <c r="G26" s="9" t="n">
        <f aca="false">(A26-Parametri!$A$11)+Parametri!$A$2+(Parametri!$A$5/2)</f>
        <v>0</v>
      </c>
      <c r="H26" s="10" t="n">
        <f aca="false">(E26-Parametri!$A$8)-(Dati!A26-Parametri!$A$11)+Parametri!$A$2</f>
        <v>0</v>
      </c>
      <c r="I26" s="10" t="n">
        <f aca="false">F26</f>
        <v>0.115470053837925</v>
      </c>
      <c r="J26" s="10" t="n">
        <f aca="false">Parametri!$D$8</f>
        <v>0.115470053837925</v>
      </c>
    </row>
    <row r="27" customFormat="false" ht="17.25" hidden="false" customHeight="true" outlineLevel="0" collapsed="false">
      <c r="A27" s="8" t="n">
        <f aca="false">IF(C156=0, B156, mean(B156:C156))</f>
        <v>0</v>
      </c>
      <c r="D27" s="9" t="n">
        <f aca="false">B27+2*E27</f>
        <v>0</v>
      </c>
      <c r="E27" s="9" t="n">
        <f aca="false">IF(C27=0, B27, mean(B27:C27))</f>
        <v>0</v>
      </c>
      <c r="F27" s="10" t="n">
        <f aca="false">IF(C27=0, Parametri!$D$8, ABS(B27-C27)/(2*SQRT(3)))</f>
        <v>0.115470053837925</v>
      </c>
      <c r="G27" s="9" t="n">
        <f aca="false">(A27-Parametri!$A$11)+Parametri!$A$2+(Parametri!$A$5/2)</f>
        <v>0</v>
      </c>
      <c r="H27" s="10" t="n">
        <f aca="false">(E27-Parametri!$A$8)-(Dati!A27-Parametri!$A$11)+Parametri!$A$2</f>
        <v>0</v>
      </c>
      <c r="I27" s="10" t="n">
        <f aca="false">F27</f>
        <v>0.115470053837925</v>
      </c>
      <c r="J27" s="10" t="n">
        <f aca="false">Parametri!$D$8</f>
        <v>0.115470053837925</v>
      </c>
    </row>
    <row r="28" customFormat="false" ht="17.25" hidden="false" customHeight="true" outlineLevel="0" collapsed="false">
      <c r="A28" s="8" t="n">
        <f aca="false">IF(C157=0, B157, mean(B157:C157))</f>
        <v>0</v>
      </c>
      <c r="D28" s="9" t="n">
        <f aca="false">B28+2*E28</f>
        <v>0</v>
      </c>
      <c r="E28" s="9" t="n">
        <f aca="false">IF(C28=0, B28, mean(B28:C28))</f>
        <v>0</v>
      </c>
      <c r="F28" s="10" t="n">
        <f aca="false">IF(C28=0, Parametri!$D$8, ABS(B28-C28)/(2*SQRT(3)))</f>
        <v>0.115470053837925</v>
      </c>
      <c r="G28" s="9" t="n">
        <f aca="false">(A28-Parametri!$A$11)+Parametri!$A$2+(Parametri!$A$5/2)</f>
        <v>0</v>
      </c>
      <c r="H28" s="10" t="n">
        <f aca="false">(E28-Parametri!$A$8)-(Dati!A28-Parametri!$A$11)+Parametri!$A$2</f>
        <v>0</v>
      </c>
      <c r="I28" s="10" t="n">
        <f aca="false">F28</f>
        <v>0.115470053837925</v>
      </c>
      <c r="J28" s="10" t="n">
        <f aca="false">Parametri!$D$8</f>
        <v>0.115470053837925</v>
      </c>
    </row>
    <row r="29" customFormat="false" ht="17.25" hidden="false" customHeight="true" outlineLevel="0" collapsed="false">
      <c r="A29" s="8" t="n">
        <f aca="false">IF(C158=0, B158, mean(B158:C158))</f>
        <v>0</v>
      </c>
      <c r="D29" s="9" t="n">
        <f aca="false">B29+2*E29</f>
        <v>0</v>
      </c>
      <c r="E29" s="9" t="n">
        <f aca="false">IF(C29=0, B29, mean(B29:C29))</f>
        <v>0</v>
      </c>
      <c r="F29" s="10" t="n">
        <f aca="false">IF(C29=0, Parametri!$D$8, ABS(B29-C29)/(2*SQRT(3)))</f>
        <v>0.115470053837925</v>
      </c>
      <c r="G29" s="9" t="n">
        <f aca="false">(A29-Parametri!$A$11)+Parametri!$A$2+(Parametri!$A$5/2)</f>
        <v>0</v>
      </c>
      <c r="H29" s="10" t="n">
        <f aca="false">(E29-Parametri!$A$8)-(Dati!A29-Parametri!$A$11)+Parametri!$A$2</f>
        <v>0</v>
      </c>
      <c r="I29" s="10" t="n">
        <f aca="false">F29</f>
        <v>0.115470053837925</v>
      </c>
      <c r="J29" s="10" t="n">
        <f aca="false">Parametri!$D$8</f>
        <v>0.115470053837925</v>
      </c>
    </row>
    <row r="30" customFormat="false" ht="17.25" hidden="false" customHeight="true" outlineLevel="0" collapsed="false">
      <c r="A30" s="8" t="n">
        <f aca="false">IF(C159=0, B159, mean(B159:C159))</f>
        <v>0</v>
      </c>
      <c r="D30" s="9" t="n">
        <f aca="false">B30+2*E30</f>
        <v>0</v>
      </c>
      <c r="E30" s="9" t="n">
        <f aca="false">IF(C30=0, B30, mean(B30:C30))</f>
        <v>0</v>
      </c>
      <c r="F30" s="10" t="n">
        <f aca="false">IF(C30=0, Parametri!$D$8, ABS(B30-C30)/(2*SQRT(3)))</f>
        <v>0.115470053837925</v>
      </c>
      <c r="G30" s="9" t="n">
        <f aca="false">(A30-Parametri!$A$11)+Parametri!$A$2+(Parametri!$A$5/2)</f>
        <v>0</v>
      </c>
      <c r="H30" s="10" t="n">
        <f aca="false">(E30-Parametri!$A$8)-(Dati!A30-Parametri!$A$11)+Parametri!$A$2</f>
        <v>0</v>
      </c>
      <c r="I30" s="10" t="n">
        <f aca="false">F30</f>
        <v>0.115470053837925</v>
      </c>
      <c r="J30" s="10" t="n">
        <f aca="false">Parametri!$D$8</f>
        <v>0.115470053837925</v>
      </c>
    </row>
    <row r="31" customFormat="false" ht="17.25" hidden="false" customHeight="true" outlineLevel="0" collapsed="false">
      <c r="A31" s="8" t="n">
        <f aca="false">IF(C160=0, B160, mean(B160:C160))</f>
        <v>0</v>
      </c>
      <c r="D31" s="9" t="n">
        <f aca="false">B31+2*E31</f>
        <v>0</v>
      </c>
      <c r="E31" s="9" t="n">
        <f aca="false">IF(C31=0, B31, mean(B31:C31))</f>
        <v>0</v>
      </c>
      <c r="F31" s="10" t="n">
        <f aca="false">IF(C31=0, Parametri!$D$8, ABS(B31-C31)/(2*SQRT(3)))</f>
        <v>0.115470053837925</v>
      </c>
      <c r="G31" s="9" t="n">
        <f aca="false">(A31-Parametri!$A$11)+Parametri!$A$2+(Parametri!$A$5/2)</f>
        <v>0</v>
      </c>
      <c r="H31" s="10" t="n">
        <f aca="false">(E31-Parametri!$A$8)-(Dati!A31-Parametri!$A$11)+Parametri!$A$2</f>
        <v>0</v>
      </c>
      <c r="I31" s="10" t="n">
        <f aca="false">F31</f>
        <v>0.115470053837925</v>
      </c>
      <c r="J31" s="10" t="n">
        <f aca="false">Parametri!$D$8</f>
        <v>0.115470053837925</v>
      </c>
    </row>
    <row r="32" customFormat="false" ht="17.25" hidden="false" customHeight="true" outlineLevel="0" collapsed="false">
      <c r="A32" s="8" t="n">
        <f aca="false">IF(C161=0, B161, mean(B161:C161))</f>
        <v>0</v>
      </c>
      <c r="D32" s="9" t="n">
        <f aca="false">B32+2*E32</f>
        <v>0</v>
      </c>
      <c r="E32" s="9" t="n">
        <f aca="false">IF(C32=0, B32, mean(B32:C32))</f>
        <v>0</v>
      </c>
      <c r="F32" s="10" t="n">
        <f aca="false">IF(C32=0, Parametri!$D$8, ABS(B32-C32)/(2*SQRT(3)))</f>
        <v>0.115470053837925</v>
      </c>
      <c r="G32" s="9" t="n">
        <f aca="false">(A32-Parametri!$A$11)+Parametri!$A$2+(Parametri!$A$5/2)</f>
        <v>0</v>
      </c>
      <c r="H32" s="10" t="n">
        <f aca="false">(E32-Parametri!$A$8)-(Dati!A32-Parametri!$A$11)+Parametri!$A$2</f>
        <v>0</v>
      </c>
      <c r="I32" s="10" t="n">
        <f aca="false">F32</f>
        <v>0.115470053837925</v>
      </c>
      <c r="J32" s="10" t="n">
        <f aca="false">Parametri!$D$8</f>
        <v>0.115470053837925</v>
      </c>
    </row>
    <row r="33" customFormat="false" ht="17.25" hidden="false" customHeight="true" outlineLevel="0" collapsed="false">
      <c r="A33" s="8" t="n">
        <f aca="false">IF(C162=0, B162, mean(B162:C162))</f>
        <v>0</v>
      </c>
      <c r="D33" s="9" t="n">
        <f aca="false">B33+2*E33</f>
        <v>0</v>
      </c>
      <c r="E33" s="9" t="n">
        <f aca="false">IF(C33=0, B33, mean(B33:C33))</f>
        <v>0</v>
      </c>
      <c r="F33" s="10" t="n">
        <f aca="false">IF(C33=0, Parametri!$D$8, ABS(B33-C33)/(2*SQRT(3)))</f>
        <v>0.115470053837925</v>
      </c>
      <c r="G33" s="9" t="n">
        <f aca="false">(A33-Parametri!$A$11)+Parametri!$A$2+(Parametri!$A$5/2)</f>
        <v>0</v>
      </c>
      <c r="H33" s="10" t="n">
        <f aca="false">(E33-Parametri!$A$8)-(Dati!A33-Parametri!$A$11)+Parametri!$A$2</f>
        <v>0</v>
      </c>
      <c r="I33" s="10" t="n">
        <f aca="false">F33</f>
        <v>0.115470053837925</v>
      </c>
      <c r="J33" s="10" t="n">
        <f aca="false">Parametri!$D$8</f>
        <v>0.115470053837925</v>
      </c>
    </row>
    <row r="34" customFormat="false" ht="17.25" hidden="false" customHeight="true" outlineLevel="0" collapsed="false">
      <c r="A34" s="8" t="n">
        <f aca="false">IF(C163=0, B163, mean(B163:C163))</f>
        <v>0</v>
      </c>
      <c r="D34" s="9" t="n">
        <f aca="false">B34+2*E34</f>
        <v>0</v>
      </c>
      <c r="E34" s="9" t="n">
        <f aca="false">IF(C34=0, B34, mean(B34:C34))</f>
        <v>0</v>
      </c>
      <c r="F34" s="10" t="n">
        <f aca="false">IF(C34=0, Parametri!$D$8, ABS(B34-C34)/(2*SQRT(3)))</f>
        <v>0.115470053837925</v>
      </c>
      <c r="G34" s="9" t="n">
        <f aca="false">(A34-Parametri!$A$11)+Parametri!$A$2+(Parametri!$A$5/2)</f>
        <v>0</v>
      </c>
      <c r="H34" s="10" t="n">
        <f aca="false">(E34-Parametri!$A$8)-(Dati!A34-Parametri!$A$11)+Parametri!$A$2</f>
        <v>0</v>
      </c>
      <c r="I34" s="10" t="n">
        <f aca="false">F34</f>
        <v>0.115470053837925</v>
      </c>
      <c r="J34" s="10" t="n">
        <f aca="false">Parametri!$D$8</f>
        <v>0.115470053837925</v>
      </c>
    </row>
    <row r="35" customFormat="false" ht="17.25" hidden="false" customHeight="true" outlineLevel="0" collapsed="false">
      <c r="A35" s="8" t="n">
        <f aca="false">IF(C164=0, B164, mean(B164:C164))</f>
        <v>0</v>
      </c>
      <c r="D35" s="9" t="n">
        <f aca="false">B35+2*E35</f>
        <v>0</v>
      </c>
      <c r="E35" s="9" t="n">
        <f aca="false">IF(C35=0, B35, mean(B35:C35))</f>
        <v>0</v>
      </c>
      <c r="F35" s="10" t="n">
        <f aca="false">IF(C35=0, Parametri!$D$8, ABS(B35-C35)/(2*SQRT(3)))</f>
        <v>0.115470053837925</v>
      </c>
      <c r="G35" s="9" t="n">
        <f aca="false">(A35-Parametri!$A$11)+Parametri!$A$2+(Parametri!$A$5/2)</f>
        <v>0</v>
      </c>
      <c r="H35" s="10" t="n">
        <f aca="false">(E35-Parametri!$A$8)-(Dati!A35-Parametri!$A$11)+Parametri!$A$2</f>
        <v>0</v>
      </c>
      <c r="I35" s="10" t="n">
        <f aca="false">F35</f>
        <v>0.115470053837925</v>
      </c>
      <c r="J35" s="10" t="n">
        <f aca="false">Parametri!$D$8</f>
        <v>0.115470053837925</v>
      </c>
    </row>
    <row r="36" customFormat="false" ht="17.25" hidden="false" customHeight="true" outlineLevel="0" collapsed="false">
      <c r="A36" s="8" t="n">
        <f aca="false">IF(C165=0, B165, mean(B165:C165))</f>
        <v>0</v>
      </c>
      <c r="D36" s="9" t="n">
        <f aca="false">B36+2*E36</f>
        <v>0</v>
      </c>
      <c r="E36" s="9" t="n">
        <f aca="false">IF(C36=0, B36, mean(B36:C36))</f>
        <v>0</v>
      </c>
      <c r="F36" s="10" t="n">
        <f aca="false">IF(C36=0, Parametri!$D$8, ABS(B36-C36)/(2*SQRT(3)))</f>
        <v>0.115470053837925</v>
      </c>
      <c r="G36" s="9" t="n">
        <f aca="false">(A36-Parametri!$A$11)+Parametri!$A$2+(Parametri!$A$5/2)</f>
        <v>0</v>
      </c>
      <c r="H36" s="10" t="n">
        <f aca="false">(E36-Parametri!$A$8)-(Dati!A36-Parametri!$A$11)+Parametri!$A$2</f>
        <v>0</v>
      </c>
      <c r="I36" s="10" t="n">
        <f aca="false">F36</f>
        <v>0.115470053837925</v>
      </c>
      <c r="J36" s="10" t="n">
        <f aca="false">Parametri!$D$8</f>
        <v>0.115470053837925</v>
      </c>
    </row>
    <row r="37" customFormat="false" ht="17.25" hidden="false" customHeight="true" outlineLevel="0" collapsed="false">
      <c r="A37" s="8" t="n">
        <f aca="false">IF(C166=0, B166, mean(B166:C166))</f>
        <v>0</v>
      </c>
      <c r="D37" s="9" t="n">
        <f aca="false">B37+2*E37</f>
        <v>0</v>
      </c>
      <c r="E37" s="9" t="n">
        <f aca="false">IF(C37=0, B37, mean(B37:C37))</f>
        <v>0</v>
      </c>
      <c r="F37" s="10" t="n">
        <f aca="false">IF(C37=0, Parametri!$D$8, ABS(B37-C37)/(2*SQRT(3)))</f>
        <v>0.115470053837925</v>
      </c>
      <c r="G37" s="9" t="n">
        <f aca="false">(A37-Parametri!$A$11)+Parametri!$A$2+(Parametri!$A$5/2)</f>
        <v>0</v>
      </c>
      <c r="H37" s="10" t="n">
        <f aca="false">(E37-Parametri!$A$8)-(Dati!A37-Parametri!$A$11)+Parametri!$A$2</f>
        <v>0</v>
      </c>
      <c r="I37" s="10" t="n">
        <f aca="false">F37</f>
        <v>0.115470053837925</v>
      </c>
      <c r="J37" s="10" t="n">
        <f aca="false">Parametri!$D$8</f>
        <v>0.115470053837925</v>
      </c>
    </row>
    <row r="38" customFormat="false" ht="17.25" hidden="false" customHeight="true" outlineLevel="0" collapsed="false">
      <c r="A38" s="8" t="n">
        <f aca="false">IF(C167=0, B167, mean(B167:C167))</f>
        <v>0</v>
      </c>
      <c r="D38" s="9" t="n">
        <f aca="false">B38+2*E38</f>
        <v>0</v>
      </c>
      <c r="E38" s="9" t="n">
        <f aca="false">IF(C38=0, B38, mean(B38:C38))</f>
        <v>0</v>
      </c>
      <c r="F38" s="10" t="n">
        <f aca="false">IF(C38=0, Parametri!$D$8, ABS(B38-C38)/(2*SQRT(3)))</f>
        <v>0.115470053837925</v>
      </c>
      <c r="G38" s="9" t="n">
        <f aca="false">(A38-Parametri!$A$11)+Parametri!$A$2+(Parametri!$A$5/2)</f>
        <v>0</v>
      </c>
      <c r="H38" s="10" t="n">
        <f aca="false">(E38-Parametri!$A$8)-(Dati!A38-Parametri!$A$11)+Parametri!$A$2</f>
        <v>0</v>
      </c>
      <c r="I38" s="10" t="n">
        <f aca="false">F38</f>
        <v>0.115470053837925</v>
      </c>
      <c r="J38" s="10" t="n">
        <f aca="false">Parametri!$D$8</f>
        <v>0.115470053837925</v>
      </c>
    </row>
    <row r="39" customFormat="false" ht="17.25" hidden="false" customHeight="true" outlineLevel="0" collapsed="false">
      <c r="A39" s="8" t="n">
        <f aca="false">IF(C168=0, B168, mean(B168:C168))</f>
        <v>0</v>
      </c>
      <c r="D39" s="9" t="n">
        <f aca="false">B39+2*E39</f>
        <v>0</v>
      </c>
      <c r="E39" s="9" t="n">
        <f aca="false">IF(C39=0, B39, mean(B39:C39))</f>
        <v>0</v>
      </c>
      <c r="F39" s="10" t="n">
        <f aca="false">IF(C39=0, Parametri!$D$8, ABS(B39-C39)/(2*SQRT(3)))</f>
        <v>0.115470053837925</v>
      </c>
      <c r="G39" s="9" t="n">
        <f aca="false">(A39-Parametri!$A$11)+Parametri!$A$2+(Parametri!$A$5/2)</f>
        <v>0</v>
      </c>
      <c r="H39" s="10" t="n">
        <f aca="false">(E39-Parametri!$A$8)-(Dati!A39-Parametri!$A$11)+Parametri!$A$2</f>
        <v>0</v>
      </c>
      <c r="I39" s="10" t="n">
        <f aca="false">F39</f>
        <v>0.115470053837925</v>
      </c>
      <c r="J39" s="10" t="n">
        <f aca="false">Parametri!$D$8</f>
        <v>0.115470053837925</v>
      </c>
    </row>
    <row r="40" customFormat="false" ht="17.25" hidden="false" customHeight="true" outlineLevel="0" collapsed="false">
      <c r="A40" s="8" t="n">
        <f aca="false">IF(C169=0, B169, mean(B169:C169))</f>
        <v>0</v>
      </c>
      <c r="D40" s="9" t="n">
        <f aca="false">B40+2*E40</f>
        <v>0</v>
      </c>
      <c r="E40" s="9" t="n">
        <f aca="false">IF(C40=0, B40, mean(B40:C40))</f>
        <v>0</v>
      </c>
      <c r="F40" s="10" t="n">
        <f aca="false">IF(C40=0, Parametri!$D$8, ABS(B40-C40)/(2*SQRT(3)))</f>
        <v>0.115470053837925</v>
      </c>
      <c r="G40" s="9" t="n">
        <f aca="false">(A40-Parametri!$A$11)+Parametri!$A$2+(Parametri!$A$5/2)</f>
        <v>0</v>
      </c>
      <c r="H40" s="10" t="n">
        <f aca="false">(E40-Parametri!$A$8)-(Dati!A40-Parametri!$A$11)+Parametri!$A$2</f>
        <v>0</v>
      </c>
      <c r="I40" s="10" t="n">
        <f aca="false">F40</f>
        <v>0.115470053837925</v>
      </c>
      <c r="J40" s="10" t="n">
        <f aca="false">Parametri!$D$8</f>
        <v>0.115470053837925</v>
      </c>
    </row>
    <row r="41" customFormat="false" ht="17.25" hidden="false" customHeight="true" outlineLevel="0" collapsed="false">
      <c r="A41" s="8" t="n">
        <f aca="false">IF(C170=0, B170, mean(B170:C170))</f>
        <v>0</v>
      </c>
      <c r="D41" s="9" t="n">
        <f aca="false">B41+2*E41</f>
        <v>0</v>
      </c>
      <c r="E41" s="9" t="n">
        <f aca="false">IF(C41=0, B41, mean(B41:C41))</f>
        <v>0</v>
      </c>
      <c r="F41" s="10" t="n">
        <f aca="false">IF(C41=0, Parametri!$D$8, ABS(B41-C41)/(2*SQRT(3)))</f>
        <v>0.115470053837925</v>
      </c>
      <c r="G41" s="9" t="n">
        <f aca="false">(A41-Parametri!$A$11)+Parametri!$A$2+(Parametri!$A$5/2)</f>
        <v>0</v>
      </c>
      <c r="H41" s="10" t="n">
        <f aca="false">(E41-Parametri!$A$8)-(Dati!A41-Parametri!$A$11)+Parametri!$A$2</f>
        <v>0</v>
      </c>
      <c r="I41" s="10" t="n">
        <f aca="false">F41</f>
        <v>0.115470053837925</v>
      </c>
      <c r="J41" s="10" t="n">
        <f aca="false">Parametri!$D$8</f>
        <v>0.115470053837925</v>
      </c>
    </row>
    <row r="42" customFormat="false" ht="17.25" hidden="false" customHeight="true" outlineLevel="0" collapsed="false">
      <c r="A42" s="8" t="n">
        <f aca="false">IF(C171=0, B171, mean(B171:C171))</f>
        <v>0</v>
      </c>
      <c r="D42" s="9" t="n">
        <f aca="false">B42+2*E42</f>
        <v>0</v>
      </c>
      <c r="E42" s="9" t="n">
        <f aca="false">IF(C42=0, B42, mean(B42:C42))</f>
        <v>0</v>
      </c>
      <c r="F42" s="10" t="n">
        <f aca="false">IF(C42=0, Parametri!$D$8, ABS(B42-C42)/(2*SQRT(3)))</f>
        <v>0.115470053837925</v>
      </c>
      <c r="G42" s="9" t="n">
        <f aca="false">(A42-Parametri!$A$11)+Parametri!$A$2+(Parametri!$A$5/2)</f>
        <v>0</v>
      </c>
      <c r="H42" s="10" t="n">
        <f aca="false">(E42-Parametri!$A$8)-(Dati!A42-Parametri!$A$11)+Parametri!$A$2</f>
        <v>0</v>
      </c>
      <c r="I42" s="10" t="n">
        <f aca="false">F42</f>
        <v>0.115470053837925</v>
      </c>
      <c r="J42" s="10" t="n">
        <f aca="false">Parametri!$D$8</f>
        <v>0.115470053837925</v>
      </c>
    </row>
    <row r="43" customFormat="false" ht="17.25" hidden="false" customHeight="true" outlineLevel="0" collapsed="false">
      <c r="A43" s="8" t="n">
        <f aca="false">IF(C172=0, B172, mean(B172:C172))</f>
        <v>0</v>
      </c>
      <c r="D43" s="9" t="n">
        <f aca="false">B43+2*E43</f>
        <v>0</v>
      </c>
      <c r="E43" s="9" t="n">
        <f aca="false">IF(C43=0, B43, mean(B43:C43))</f>
        <v>0</v>
      </c>
      <c r="F43" s="10" t="n">
        <f aca="false">IF(C43=0, Parametri!$D$8, ABS(B43-C43)/(2*SQRT(3)))</f>
        <v>0.115470053837925</v>
      </c>
      <c r="G43" s="9" t="n">
        <f aca="false">(A43-Parametri!$A$11)+Parametri!$A$2+(Parametri!$A$5/2)</f>
        <v>0</v>
      </c>
      <c r="H43" s="10" t="n">
        <f aca="false">(E43-Parametri!$A$8)-(Dati!A43-Parametri!$A$11)+Parametri!$A$2</f>
        <v>0</v>
      </c>
      <c r="I43" s="10" t="n">
        <f aca="false">F43</f>
        <v>0.115470053837925</v>
      </c>
      <c r="J43" s="10" t="n">
        <f aca="false">Parametri!$D$8</f>
        <v>0.115470053837925</v>
      </c>
    </row>
    <row r="44" customFormat="false" ht="17.25" hidden="false" customHeight="true" outlineLevel="0" collapsed="false">
      <c r="A44" s="8" t="n">
        <f aca="false">IF(C173=0, B173, mean(B173:C173))</f>
        <v>0</v>
      </c>
      <c r="D44" s="9" t="n">
        <f aca="false">B44+2*E44</f>
        <v>0</v>
      </c>
      <c r="E44" s="9" t="n">
        <f aca="false">IF(C44=0, B44, mean(B44:C44))</f>
        <v>0</v>
      </c>
      <c r="F44" s="10" t="n">
        <f aca="false">IF(C44=0, Parametri!$D$8, ABS(B44-C44)/(2*SQRT(3)))</f>
        <v>0.115470053837925</v>
      </c>
      <c r="G44" s="9" t="n">
        <f aca="false">(A44-Parametri!$A$11)+Parametri!$A$2+(Parametri!$A$5/2)</f>
        <v>0</v>
      </c>
      <c r="H44" s="10" t="n">
        <f aca="false">(E44-Parametri!$A$8)-(Dati!A44-Parametri!$A$11)+Parametri!$A$2</f>
        <v>0</v>
      </c>
      <c r="I44" s="10" t="n">
        <f aca="false">F44</f>
        <v>0.115470053837925</v>
      </c>
      <c r="J44" s="10" t="n">
        <f aca="false">Parametri!$D$8</f>
        <v>0.115470053837925</v>
      </c>
    </row>
    <row r="45" customFormat="false" ht="17.25" hidden="false" customHeight="true" outlineLevel="0" collapsed="false">
      <c r="A45" s="8" t="n">
        <f aca="false">IF(C174=0, B174, mean(B174:C174))</f>
        <v>0</v>
      </c>
      <c r="D45" s="9" t="n">
        <f aca="false">B45+2*E45</f>
        <v>0</v>
      </c>
      <c r="E45" s="9" t="n">
        <f aca="false">IF(C45=0, B45, mean(B45:C45))</f>
        <v>0</v>
      </c>
      <c r="F45" s="10" t="n">
        <f aca="false">IF(C45=0, Parametri!$D$8, ABS(B45-C45)/(2*SQRT(3)))</f>
        <v>0.115470053837925</v>
      </c>
      <c r="G45" s="9" t="n">
        <f aca="false">(A45-Parametri!$A$11)+Parametri!$A$2+(Parametri!$A$5/2)</f>
        <v>0</v>
      </c>
      <c r="H45" s="10" t="n">
        <f aca="false">(E45-Parametri!$A$8)-(Dati!A45-Parametri!$A$11)+Parametri!$A$2</f>
        <v>0</v>
      </c>
      <c r="I45" s="10" t="n">
        <f aca="false">F45</f>
        <v>0.115470053837925</v>
      </c>
      <c r="J45" s="10" t="n">
        <f aca="false">Parametri!$D$8</f>
        <v>0.115470053837925</v>
      </c>
    </row>
    <row r="46" customFormat="false" ht="17.25" hidden="false" customHeight="true" outlineLevel="0" collapsed="false">
      <c r="A46" s="8" t="n">
        <f aca="false">IF(C175=0, B175, mean(B175:C175))</f>
        <v>0</v>
      </c>
      <c r="D46" s="9" t="n">
        <f aca="false">B46+2*E46</f>
        <v>0</v>
      </c>
      <c r="E46" s="9" t="n">
        <f aca="false">IF(C46=0, B46, mean(B46:C46))</f>
        <v>0</v>
      </c>
      <c r="F46" s="10" t="n">
        <f aca="false">IF(C46=0, Parametri!$D$8, ABS(B46-C46)/(2*SQRT(3)))</f>
        <v>0.115470053837925</v>
      </c>
      <c r="G46" s="9" t="n">
        <f aca="false">(A46-Parametri!$A$11)+Parametri!$A$2+(Parametri!$A$5/2)</f>
        <v>0</v>
      </c>
      <c r="H46" s="10" t="n">
        <f aca="false">(E46-Parametri!$A$8)-(Dati!A46-Parametri!$A$11)+Parametri!$A$2</f>
        <v>0</v>
      </c>
      <c r="I46" s="10" t="n">
        <f aca="false">F46</f>
        <v>0.115470053837925</v>
      </c>
      <c r="J46" s="10" t="n">
        <f aca="false">Parametri!$D$8</f>
        <v>0.115470053837925</v>
      </c>
    </row>
    <row r="47" customFormat="false" ht="17.25" hidden="false" customHeight="true" outlineLevel="0" collapsed="false">
      <c r="A47" s="8" t="n">
        <f aca="false">IF(C176=0, B176, mean(B176:C176))</f>
        <v>0</v>
      </c>
      <c r="D47" s="9" t="n">
        <f aca="false">B47+2*E47</f>
        <v>0</v>
      </c>
      <c r="E47" s="9" t="n">
        <f aca="false">IF(C47=0, B47, mean(B47:C47))</f>
        <v>0</v>
      </c>
      <c r="F47" s="10" t="n">
        <f aca="false">IF(C47=0, Parametri!$D$8, ABS(B47-C47)/(2*SQRT(3)))</f>
        <v>0.115470053837925</v>
      </c>
      <c r="G47" s="9" t="n">
        <f aca="false">(A47-Parametri!$A$11)+Parametri!$A$2+(Parametri!$A$5/2)</f>
        <v>0</v>
      </c>
      <c r="H47" s="10" t="n">
        <f aca="false">(E47-Parametri!$A$8)-(Dati!A47-Parametri!$A$11)+Parametri!$A$2</f>
        <v>0</v>
      </c>
      <c r="I47" s="10" t="n">
        <f aca="false">F47</f>
        <v>0.115470053837925</v>
      </c>
      <c r="J47" s="10" t="n">
        <f aca="false">Parametri!$D$8</f>
        <v>0.115470053837925</v>
      </c>
    </row>
    <row r="48" customFormat="false" ht="17.25" hidden="false" customHeight="true" outlineLevel="0" collapsed="false">
      <c r="A48" s="8" t="n">
        <f aca="false">A47+2</f>
        <v>2</v>
      </c>
      <c r="D48" s="9" t="n">
        <f aca="false">B48+2*E48</f>
        <v>0</v>
      </c>
      <c r="E48" s="9" t="n">
        <f aca="false">IF(C48=0, B48, mean(B48:C48))</f>
        <v>0</v>
      </c>
      <c r="F48" s="10" t="n">
        <f aca="false">IF(C48=0, Parametri!$D$8, ABS(B48-C48)/(2*SQRT(3)))</f>
        <v>0.115470053837925</v>
      </c>
      <c r="G48" s="9" t="n">
        <f aca="false">(A48-Parametri!$A$11)+Parametri!$A$2+(Parametri!$A$5/2)</f>
        <v>2</v>
      </c>
      <c r="H48" s="10" t="n">
        <f aca="false">(E48-Parametri!$A$8)-(Dati!A48-Parametri!$A$11)+Parametri!$A$2</f>
        <v>-2</v>
      </c>
      <c r="I48" s="10" t="n">
        <f aca="false">F48</f>
        <v>0.115470053837925</v>
      </c>
      <c r="J48" s="10" t="n">
        <f aca="false">Parametri!$D$8</f>
        <v>0.115470053837925</v>
      </c>
    </row>
    <row r="49" customFormat="false" ht="17.25" hidden="false" customHeight="true" outlineLevel="0" collapsed="false">
      <c r="A49" s="8" t="n">
        <f aca="false">A48+2</f>
        <v>4</v>
      </c>
      <c r="D49" s="9" t="n">
        <f aca="false">B49+2*E49</f>
        <v>0</v>
      </c>
      <c r="E49" s="9" t="n">
        <f aca="false">IF(C49=0, B49, mean(B49:C49))</f>
        <v>0</v>
      </c>
      <c r="F49" s="10" t="n">
        <f aca="false">IF(C49=0, Parametri!$D$8, ABS(B49-C49)/(2*SQRT(3)))</f>
        <v>0.115470053837925</v>
      </c>
      <c r="G49" s="9" t="n">
        <f aca="false">(A49-Parametri!$A$11)+Parametri!$A$2+(Parametri!$A$5/2)</f>
        <v>4</v>
      </c>
      <c r="H49" s="10" t="n">
        <f aca="false">(E49-Parametri!$A$8)-(Dati!A49-Parametri!$A$11)+Parametri!$A$2</f>
        <v>-4</v>
      </c>
      <c r="I49" s="10" t="n">
        <f aca="false">F49</f>
        <v>0.115470053837925</v>
      </c>
      <c r="J49" s="10" t="n">
        <f aca="false">Parametri!$D$8</f>
        <v>0.115470053837925</v>
      </c>
    </row>
    <row r="50" customFormat="false" ht="17.25" hidden="false" customHeight="true" outlineLevel="0" collapsed="false">
      <c r="A50" s="8" t="n">
        <f aca="false">A49+2</f>
        <v>6</v>
      </c>
      <c r="D50" s="9" t="n">
        <f aca="false">B50+2*E50</f>
        <v>0</v>
      </c>
      <c r="E50" s="9" t="n">
        <f aca="false">IF(C50=0, B50, mean(B50:C50))</f>
        <v>0</v>
      </c>
      <c r="F50" s="10" t="n">
        <f aca="false">IF(C50=0, Parametri!$D$8, ABS(B50-C50)/(2*SQRT(3)))</f>
        <v>0.115470053837925</v>
      </c>
      <c r="G50" s="9" t="n">
        <f aca="false">(A50-Parametri!$A$11)+Parametri!$A$2+(Parametri!$A$5/2)</f>
        <v>6</v>
      </c>
      <c r="H50" s="10" t="n">
        <f aca="false">(E50-Parametri!$A$8)-(Dati!A50-Parametri!$A$11)+Parametri!$A$2</f>
        <v>-6</v>
      </c>
      <c r="I50" s="10" t="n">
        <f aca="false">F50</f>
        <v>0.115470053837925</v>
      </c>
      <c r="J50" s="10" t="n">
        <f aca="false">Parametri!$D$8</f>
        <v>0.115470053837925</v>
      </c>
    </row>
    <row r="51" customFormat="false" ht="17.25" hidden="false" customHeight="true" outlineLevel="0" collapsed="false">
      <c r="A51" s="8" t="n">
        <f aca="false">A50+2</f>
        <v>8</v>
      </c>
      <c r="D51" s="9" t="n">
        <f aca="false">B51+2*E51</f>
        <v>0</v>
      </c>
      <c r="E51" s="9" t="n">
        <f aca="false">IF(C51=0, B51, mean(B51:C51))</f>
        <v>0</v>
      </c>
      <c r="F51" s="10" t="n">
        <f aca="false">IF(C51=0, Parametri!$D$8, ABS(B51-C51)/(2*SQRT(3)))</f>
        <v>0.115470053837925</v>
      </c>
      <c r="G51" s="9" t="n">
        <f aca="false">(A51-Parametri!$A$11)+Parametri!$A$2+(Parametri!$A$5/2)</f>
        <v>8</v>
      </c>
      <c r="H51" s="10" t="n">
        <f aca="false">(E51-Parametri!$A$8)-(Dati!A51-Parametri!$A$11)+Parametri!$A$2</f>
        <v>-8</v>
      </c>
      <c r="I51" s="10" t="n">
        <f aca="false">F51</f>
        <v>0.115470053837925</v>
      </c>
      <c r="J51" s="10" t="n">
        <f aca="false">Parametri!$D$8</f>
        <v>0.115470053837925</v>
      </c>
    </row>
    <row r="52" customFormat="false" ht="17.25" hidden="false" customHeight="true" outlineLevel="0" collapsed="false">
      <c r="A52" s="8" t="n">
        <f aca="false">A51+2</f>
        <v>10</v>
      </c>
      <c r="D52" s="9" t="n">
        <f aca="false">B52+2*E52</f>
        <v>0</v>
      </c>
      <c r="E52" s="9" t="n">
        <f aca="false">IF(C52=0, B52, mean(B52:C52))</f>
        <v>0</v>
      </c>
      <c r="F52" s="10" t="n">
        <f aca="false">IF(C52=0, Parametri!$D$8, ABS(B52-C52)/(2*SQRT(3)))</f>
        <v>0.115470053837925</v>
      </c>
      <c r="G52" s="9" t="n">
        <f aca="false">(A52-Parametri!$A$11)+Parametri!$A$2+(Parametri!$A$5/2)</f>
        <v>10</v>
      </c>
      <c r="H52" s="10" t="n">
        <f aca="false">(E52-Parametri!$A$8)-(Dati!A52-Parametri!$A$11)+Parametri!$A$2</f>
        <v>-10</v>
      </c>
      <c r="I52" s="10" t="n">
        <f aca="false">F52</f>
        <v>0.115470053837925</v>
      </c>
      <c r="J52" s="10" t="n">
        <f aca="false">Parametri!$D$8</f>
        <v>0.115470053837925</v>
      </c>
    </row>
    <row r="53" customFormat="false" ht="17.25" hidden="false" customHeight="true" outlineLevel="0" collapsed="false">
      <c r="A53" s="8" t="n">
        <f aca="false">A52+2</f>
        <v>12</v>
      </c>
      <c r="D53" s="9" t="n">
        <f aca="false">B53+2*E53</f>
        <v>0</v>
      </c>
      <c r="E53" s="9" t="n">
        <f aca="false">IF(C53=0, B53, mean(B53:C53))</f>
        <v>0</v>
      </c>
      <c r="F53" s="10" t="n">
        <f aca="false">IF(C53=0, Parametri!$D$8, ABS(B53-C53)/(2*SQRT(3)))</f>
        <v>0.115470053837925</v>
      </c>
      <c r="G53" s="9" t="n">
        <f aca="false">(A53-Parametri!$A$11)+Parametri!$A$2+(Parametri!$A$5/2)</f>
        <v>12</v>
      </c>
      <c r="H53" s="10" t="n">
        <f aca="false">(E53-Parametri!$A$8)-(Dati!A53-Parametri!$A$11)+Parametri!$A$2</f>
        <v>-12</v>
      </c>
      <c r="I53" s="10" t="n">
        <f aca="false">F53</f>
        <v>0.115470053837925</v>
      </c>
      <c r="J53" s="10" t="n">
        <f aca="false">Parametri!$D$8</f>
        <v>0.115470053837925</v>
      </c>
    </row>
    <row r="54" customFormat="false" ht="17.25" hidden="false" customHeight="true" outlineLevel="0" collapsed="false">
      <c r="A54" s="8" t="n">
        <f aca="false">A53+2</f>
        <v>14</v>
      </c>
      <c r="D54" s="9" t="n">
        <f aca="false">B54+2*E54</f>
        <v>0</v>
      </c>
      <c r="E54" s="9" t="n">
        <f aca="false">IF(C54=0, B54, mean(B54:C54))</f>
        <v>0</v>
      </c>
      <c r="F54" s="10" t="n">
        <f aca="false">IF(C54=0, Parametri!$D$8, ABS(B54-C54)/(2*SQRT(3)))</f>
        <v>0.115470053837925</v>
      </c>
      <c r="G54" s="9" t="n">
        <f aca="false">(A54-Parametri!$A$11)+Parametri!$A$2+(Parametri!$A$5/2)</f>
        <v>14</v>
      </c>
      <c r="H54" s="10" t="n">
        <f aca="false">(E54-Parametri!$A$8)-(Dati!A54-Parametri!$A$11)+Parametri!$A$2</f>
        <v>-14</v>
      </c>
      <c r="I54" s="10" t="n">
        <f aca="false">F54</f>
        <v>0.115470053837925</v>
      </c>
      <c r="J54" s="10" t="n">
        <f aca="false">Parametri!$D$8</f>
        <v>0.115470053837925</v>
      </c>
    </row>
    <row r="55" customFormat="false" ht="17.25" hidden="false" customHeight="true" outlineLevel="0" collapsed="false">
      <c r="A55" s="8" t="n">
        <f aca="false">A54+2</f>
        <v>16</v>
      </c>
      <c r="D55" s="9" t="n">
        <f aca="false">B55+2*E55</f>
        <v>0</v>
      </c>
      <c r="E55" s="9" t="n">
        <f aca="false">IF(C55=0, B55, mean(B55:C55))</f>
        <v>0</v>
      </c>
      <c r="F55" s="10" t="n">
        <f aca="false">IF(C55=0, Parametri!$D$8, ABS(B55-C55)/(2*SQRT(3)))</f>
        <v>0.115470053837925</v>
      </c>
      <c r="G55" s="9" t="n">
        <f aca="false">(A55-Parametri!$A$11)+Parametri!$A$2+(Parametri!$A$5/2)</f>
        <v>16</v>
      </c>
      <c r="H55" s="10" t="n">
        <f aca="false">(E55-Parametri!$A$8)-(Dati!A55-Parametri!$A$11)+Parametri!$A$2</f>
        <v>-16</v>
      </c>
      <c r="I55" s="10" t="n">
        <f aca="false">F55</f>
        <v>0.115470053837925</v>
      </c>
      <c r="J55" s="10" t="n">
        <f aca="false">Parametri!$D$8</f>
        <v>0.115470053837925</v>
      </c>
    </row>
    <row r="56" customFormat="false" ht="17.25" hidden="false" customHeight="true" outlineLevel="0" collapsed="false">
      <c r="A56" s="8" t="n">
        <f aca="false">A55+2</f>
        <v>18</v>
      </c>
      <c r="D56" s="9" t="n">
        <f aca="false">B56+2*E56</f>
        <v>0</v>
      </c>
      <c r="E56" s="9" t="n">
        <f aca="false">IF(C56=0, B56, mean(B56:C56))</f>
        <v>0</v>
      </c>
      <c r="F56" s="10" t="n">
        <f aca="false">IF(C56=0, Parametri!$D$8, ABS(B56-C56)/(2*SQRT(3)))</f>
        <v>0.115470053837925</v>
      </c>
      <c r="G56" s="9" t="n">
        <f aca="false">(A56-Parametri!$A$11)+Parametri!$A$2+(Parametri!$A$5/2)</f>
        <v>18</v>
      </c>
      <c r="H56" s="10" t="n">
        <f aca="false">(E56-Parametri!$A$8)-(Dati!A56-Parametri!$A$11)+Parametri!$A$2</f>
        <v>-18</v>
      </c>
      <c r="I56" s="10" t="n">
        <f aca="false">F56</f>
        <v>0.115470053837925</v>
      </c>
      <c r="J56" s="10" t="n">
        <f aca="false">Parametri!$D$8</f>
        <v>0.115470053837925</v>
      </c>
    </row>
    <row r="57" customFormat="false" ht="17.25" hidden="false" customHeight="true" outlineLevel="0" collapsed="false">
      <c r="A57" s="8" t="n">
        <f aca="false">A56+2</f>
        <v>20</v>
      </c>
      <c r="D57" s="9" t="n">
        <f aca="false">B57+2*E57</f>
        <v>0</v>
      </c>
      <c r="E57" s="9" t="n">
        <f aca="false">IF(C57=0, B57, mean(B57:C57))</f>
        <v>0</v>
      </c>
      <c r="F57" s="10" t="n">
        <f aca="false">IF(C57=0, Parametri!$D$8, ABS(B57-C57)/(2*SQRT(3)))</f>
        <v>0.115470053837925</v>
      </c>
      <c r="G57" s="9" t="n">
        <f aca="false">(A57-Parametri!$A$11)+Parametri!$A$2+(Parametri!$A$5/2)</f>
        <v>20</v>
      </c>
      <c r="H57" s="10" t="n">
        <f aca="false">(E57-Parametri!$A$8)-(Dati!A57-Parametri!$A$11)+Parametri!$A$2</f>
        <v>-20</v>
      </c>
      <c r="I57" s="10" t="n">
        <f aca="false">F57</f>
        <v>0.115470053837925</v>
      </c>
      <c r="J57" s="10" t="n">
        <f aca="false">Parametri!$D$8</f>
        <v>0.115470053837925</v>
      </c>
    </row>
    <row r="58" customFormat="false" ht="17.25" hidden="false" customHeight="true" outlineLevel="0" collapsed="false">
      <c r="A58" s="8" t="n">
        <f aca="false">A57+2</f>
        <v>22</v>
      </c>
      <c r="D58" s="9" t="n">
        <f aca="false">B58+2*E58</f>
        <v>0</v>
      </c>
      <c r="E58" s="9" t="n">
        <f aca="false">IF(C58=0, B58, mean(B58:C58))</f>
        <v>0</v>
      </c>
      <c r="F58" s="10" t="n">
        <f aca="false">IF(C58=0, Parametri!$D$8, ABS(B58-C58)/(2*SQRT(3)))</f>
        <v>0.115470053837925</v>
      </c>
      <c r="G58" s="9" t="n">
        <f aca="false">(A58-Parametri!$A$11)+Parametri!$A$2+(Parametri!$A$5/2)</f>
        <v>22</v>
      </c>
      <c r="H58" s="10" t="n">
        <f aca="false">(E58-Parametri!$A$8)-(Dati!A58-Parametri!$A$11)+Parametri!$A$2</f>
        <v>-22</v>
      </c>
      <c r="I58" s="10" t="n">
        <f aca="false">F58</f>
        <v>0.115470053837925</v>
      </c>
      <c r="J58" s="10" t="n">
        <f aca="false">Parametri!$D$8</f>
        <v>0.115470053837925</v>
      </c>
    </row>
    <row r="59" customFormat="false" ht="17.25" hidden="false" customHeight="true" outlineLevel="0" collapsed="false">
      <c r="A59" s="8" t="n">
        <f aca="false">A58+2</f>
        <v>24</v>
      </c>
      <c r="D59" s="9" t="n">
        <f aca="false">B59+2*E59</f>
        <v>0</v>
      </c>
      <c r="E59" s="9" t="n">
        <f aca="false">IF(C59=0, B59, mean(B59:C59))</f>
        <v>0</v>
      </c>
      <c r="F59" s="10" t="n">
        <f aca="false">IF(C59=0, Parametri!$D$8, ABS(B59-C59)/(2*SQRT(3)))</f>
        <v>0.115470053837925</v>
      </c>
      <c r="G59" s="9" t="n">
        <f aca="false">(A59-Parametri!$A$11)+Parametri!$A$2+(Parametri!$A$5/2)</f>
        <v>24</v>
      </c>
      <c r="H59" s="10" t="n">
        <f aca="false">(E59-Parametri!$A$8)-(Dati!A59-Parametri!$A$11)+Parametri!$A$2</f>
        <v>-24</v>
      </c>
      <c r="I59" s="10" t="n">
        <f aca="false">F59</f>
        <v>0.115470053837925</v>
      </c>
      <c r="J59" s="10" t="n">
        <f aca="false">Parametri!$D$8</f>
        <v>0.115470053837925</v>
      </c>
    </row>
    <row r="60" customFormat="false" ht="17.25" hidden="false" customHeight="true" outlineLevel="0" collapsed="false">
      <c r="A60" s="8" t="n">
        <f aca="false">A59+2</f>
        <v>26</v>
      </c>
      <c r="D60" s="9" t="n">
        <f aca="false">B60+2*E60</f>
        <v>0</v>
      </c>
      <c r="E60" s="9" t="n">
        <f aca="false">IF(C60=0, B60, mean(B60:C60))</f>
        <v>0</v>
      </c>
      <c r="F60" s="10" t="n">
        <f aca="false">IF(C60=0, Parametri!$D$8, ABS(B60-C60)/(2*SQRT(3)))</f>
        <v>0.115470053837925</v>
      </c>
      <c r="G60" s="9" t="n">
        <f aca="false">(A60-Parametri!$A$11)+Parametri!$A$2+(Parametri!$A$5/2)</f>
        <v>26</v>
      </c>
      <c r="H60" s="10" t="n">
        <f aca="false">(E60-Parametri!$A$8)-(Dati!A60-Parametri!$A$11)+Parametri!$A$2</f>
        <v>-26</v>
      </c>
      <c r="I60" s="10" t="n">
        <f aca="false">F60</f>
        <v>0.115470053837925</v>
      </c>
      <c r="J60" s="10" t="n">
        <f aca="false">Parametri!$D$8</f>
        <v>0.115470053837925</v>
      </c>
    </row>
    <row r="61" customFormat="false" ht="17.25" hidden="false" customHeight="true" outlineLevel="0" collapsed="false">
      <c r="A61" s="8" t="n">
        <f aca="false">A60+2</f>
        <v>28</v>
      </c>
      <c r="D61" s="9" t="n">
        <f aca="false">B61+2*E61</f>
        <v>0</v>
      </c>
      <c r="E61" s="9" t="n">
        <f aca="false">IF(C61=0, B61, mean(B61:C61))</f>
        <v>0</v>
      </c>
      <c r="F61" s="10" t="n">
        <f aca="false">IF(C61=0, Parametri!$D$8, ABS(B61-C61)/(2*SQRT(3)))</f>
        <v>0.115470053837925</v>
      </c>
      <c r="G61" s="9" t="n">
        <f aca="false">(A61-Parametri!$A$11)+Parametri!$A$2+(Parametri!$A$5/2)</f>
        <v>28</v>
      </c>
      <c r="H61" s="10" t="n">
        <f aca="false">(E61-Parametri!$A$8)-(Dati!A61-Parametri!$A$11)+Parametri!$A$2</f>
        <v>-28</v>
      </c>
      <c r="I61" s="10" t="n">
        <f aca="false">F61</f>
        <v>0.115470053837925</v>
      </c>
      <c r="J61" s="10" t="n">
        <f aca="false">Parametri!$D$8</f>
        <v>0.115470053837925</v>
      </c>
    </row>
    <row r="62" customFormat="false" ht="17.25" hidden="false" customHeight="true" outlineLevel="0" collapsed="false">
      <c r="A62" s="8" t="n">
        <f aca="false">A61+2</f>
        <v>30</v>
      </c>
      <c r="D62" s="9" t="n">
        <f aca="false">B62+2*E62</f>
        <v>0</v>
      </c>
      <c r="E62" s="9" t="n">
        <f aca="false">IF(C62=0, B62, mean(B62:C62))</f>
        <v>0</v>
      </c>
      <c r="F62" s="10" t="n">
        <f aca="false">IF(C62=0, Parametri!$D$8, ABS(B62-C62)/(2*SQRT(3)))</f>
        <v>0.115470053837925</v>
      </c>
      <c r="G62" s="9" t="n">
        <f aca="false">(A62-Parametri!$A$11)+Parametri!$A$2+(Parametri!$A$5/2)</f>
        <v>30</v>
      </c>
      <c r="H62" s="10" t="n">
        <f aca="false">(E62-Parametri!$A$8)-(Dati!A62-Parametri!$A$11)+Parametri!$A$2</f>
        <v>-30</v>
      </c>
      <c r="I62" s="10" t="n">
        <f aca="false">F62</f>
        <v>0.115470053837925</v>
      </c>
      <c r="J62" s="10" t="n">
        <f aca="false">Parametri!$D$8</f>
        <v>0.115470053837925</v>
      </c>
    </row>
    <row r="63" customFormat="false" ht="17.25" hidden="false" customHeight="true" outlineLevel="0" collapsed="false">
      <c r="A63" s="8" t="n">
        <f aca="false">A62+2</f>
        <v>32</v>
      </c>
      <c r="D63" s="9" t="n">
        <f aca="false">B63+2*E63</f>
        <v>0</v>
      </c>
      <c r="E63" s="9" t="n">
        <f aca="false">IF(C63=0, B63, mean(B63:C63))</f>
        <v>0</v>
      </c>
      <c r="F63" s="10" t="n">
        <f aca="false">IF(C63=0, Parametri!$D$8, ABS(B63-C63)/(2*SQRT(3)))</f>
        <v>0.115470053837925</v>
      </c>
      <c r="G63" s="9" t="n">
        <f aca="false">(A63-Parametri!$A$11)+Parametri!$A$2+(Parametri!$A$5/2)</f>
        <v>32</v>
      </c>
      <c r="H63" s="10" t="n">
        <f aca="false">(E63-Parametri!$A$8)-(Dati!A63-Parametri!$A$11)+Parametri!$A$2</f>
        <v>-32</v>
      </c>
      <c r="I63" s="10" t="n">
        <f aca="false">F63</f>
        <v>0.115470053837925</v>
      </c>
      <c r="J63" s="10" t="n">
        <f aca="false">Parametri!$D$8</f>
        <v>0.115470053837925</v>
      </c>
    </row>
    <row r="64" customFormat="false" ht="17.25" hidden="false" customHeight="true" outlineLevel="0" collapsed="false">
      <c r="A64" s="8" t="n">
        <f aca="false">A63+2</f>
        <v>34</v>
      </c>
      <c r="D64" s="9" t="n">
        <f aca="false">B64+2*E64</f>
        <v>0</v>
      </c>
      <c r="E64" s="9" t="n">
        <f aca="false">IF(C64=0, B64, mean(B64:C64))</f>
        <v>0</v>
      </c>
      <c r="F64" s="10" t="n">
        <f aca="false">IF(C64=0, Parametri!$D$8, ABS(B64-C64)/(2*SQRT(3)))</f>
        <v>0.115470053837925</v>
      </c>
      <c r="G64" s="9" t="n">
        <f aca="false">(A64-Parametri!$A$11)+Parametri!$A$2+(Parametri!$A$5/2)</f>
        <v>34</v>
      </c>
      <c r="H64" s="10" t="n">
        <f aca="false">(E64-Parametri!$A$8)-(Dati!A64-Parametri!$A$11)+Parametri!$A$2</f>
        <v>-34</v>
      </c>
      <c r="I64" s="10" t="n">
        <f aca="false">F64</f>
        <v>0.115470053837925</v>
      </c>
      <c r="J64" s="10" t="n">
        <f aca="false">Parametri!$D$8</f>
        <v>0.115470053837925</v>
      </c>
    </row>
    <row r="65" customFormat="false" ht="17.25" hidden="false" customHeight="true" outlineLevel="0" collapsed="false">
      <c r="A65" s="8" t="n">
        <f aca="false">A64+2</f>
        <v>36</v>
      </c>
      <c r="D65" s="9" t="n">
        <f aca="false">B65+2*E65</f>
        <v>0</v>
      </c>
      <c r="E65" s="9" t="n">
        <f aca="false">IF(C65=0, B65, mean(B65:C65))</f>
        <v>0</v>
      </c>
      <c r="F65" s="10" t="n">
        <f aca="false">IF(C65=0, Parametri!$D$8, ABS(B65-C65)/(2*SQRT(3)))</f>
        <v>0.115470053837925</v>
      </c>
      <c r="G65" s="9" t="n">
        <f aca="false">(A65-Parametri!$A$11)+Parametri!$A$2+(Parametri!$A$5/2)</f>
        <v>36</v>
      </c>
      <c r="H65" s="10" t="n">
        <f aca="false">(E65-Parametri!$A$8)-(Dati!A65-Parametri!$A$11)+Parametri!$A$2</f>
        <v>-36</v>
      </c>
      <c r="I65" s="10" t="n">
        <f aca="false">F65</f>
        <v>0.115470053837925</v>
      </c>
      <c r="J65" s="10" t="n">
        <f aca="false">Parametri!$D$8</f>
        <v>0.115470053837925</v>
      </c>
    </row>
    <row r="66" customFormat="false" ht="17.25" hidden="false" customHeight="true" outlineLevel="0" collapsed="false">
      <c r="A66" s="8" t="n">
        <f aca="false">A65+3</f>
        <v>39</v>
      </c>
      <c r="D66" s="9" t="n">
        <f aca="false">B66+2*E66</f>
        <v>0</v>
      </c>
      <c r="E66" s="9" t="n">
        <f aca="false">IF(C66=0, B66, mean(B66:C66))</f>
        <v>0</v>
      </c>
      <c r="F66" s="10" t="n">
        <f aca="false">IF(C66=0, Parametri!$D$8, ABS(B66-C66)/(2*SQRT(3)))</f>
        <v>0.115470053837925</v>
      </c>
      <c r="G66" s="9" t="n">
        <f aca="false">(A66-Parametri!$A$11)+Parametri!$A$2+(Parametri!$A$5/2)</f>
        <v>39</v>
      </c>
      <c r="H66" s="10" t="n">
        <f aca="false">(E66-Parametri!$A$8)-(Dati!A66-Parametri!$A$11)+Parametri!$A$2</f>
        <v>-39</v>
      </c>
      <c r="I66" s="10" t="n">
        <f aca="false">F66</f>
        <v>0.115470053837925</v>
      </c>
      <c r="J66" s="10" t="n">
        <f aca="false">Parametri!$D$8</f>
        <v>0.115470053837925</v>
      </c>
    </row>
    <row r="67" customFormat="false" ht="17.25" hidden="false" customHeight="true" outlineLevel="0" collapsed="false">
      <c r="A67" s="8" t="n">
        <f aca="false">A66+3</f>
        <v>42</v>
      </c>
      <c r="D67" s="9" t="n">
        <f aca="false">B67+2*E67</f>
        <v>0</v>
      </c>
      <c r="E67" s="9" t="n">
        <f aca="false">IF(C67=0, B67, mean(B67:C67))</f>
        <v>0</v>
      </c>
      <c r="F67" s="10" t="n">
        <f aca="false">IF(C67=0, Parametri!$D$8, ABS(B67-C67)/(2*SQRT(3)))</f>
        <v>0.115470053837925</v>
      </c>
      <c r="G67" s="9" t="n">
        <f aca="false">(A67-Parametri!$A$11)+Parametri!$A$2+(Parametri!$A$5/2)</f>
        <v>42</v>
      </c>
      <c r="H67" s="10" t="n">
        <f aca="false">(E67-Parametri!$A$8)-(Dati!A67-Parametri!$A$11)+Parametri!$A$2</f>
        <v>-42</v>
      </c>
      <c r="I67" s="10" t="n">
        <f aca="false">F67</f>
        <v>0.115470053837925</v>
      </c>
      <c r="J67" s="10" t="n">
        <f aca="false">Parametri!$D$8</f>
        <v>0.115470053837925</v>
      </c>
    </row>
    <row r="68" customFormat="false" ht="17.25" hidden="false" customHeight="true" outlineLevel="0" collapsed="false">
      <c r="A68" s="8" t="n">
        <f aca="false">A67+3</f>
        <v>45</v>
      </c>
      <c r="D68" s="9" t="n">
        <f aca="false">B68+2*E68</f>
        <v>0</v>
      </c>
      <c r="E68" s="9" t="n">
        <f aca="false">IF(C68=0, B68, mean(B68:C68))</f>
        <v>0</v>
      </c>
      <c r="F68" s="10" t="n">
        <f aca="false">IF(C68=0, Parametri!$D$8, ABS(B68-C68)/(2*SQRT(3)))</f>
        <v>0.115470053837925</v>
      </c>
      <c r="G68" s="9" t="n">
        <f aca="false">(A68-Parametri!$A$11)+Parametri!$A$2+(Parametri!$A$5/2)</f>
        <v>45</v>
      </c>
      <c r="H68" s="10" t="n">
        <f aca="false">(E68-Parametri!$A$8)-(Dati!A68-Parametri!$A$11)+Parametri!$A$2</f>
        <v>-45</v>
      </c>
      <c r="I68" s="10" t="n">
        <f aca="false">F68</f>
        <v>0.115470053837925</v>
      </c>
      <c r="J68" s="10" t="n">
        <f aca="false">Parametri!$D$8</f>
        <v>0.115470053837925</v>
      </c>
    </row>
    <row r="69" customFormat="false" ht="17.25" hidden="false" customHeight="true" outlineLevel="0" collapsed="false">
      <c r="A69" s="8" t="n">
        <f aca="false">A68+3</f>
        <v>48</v>
      </c>
      <c r="D69" s="9" t="n">
        <f aca="false">B69+2*E69</f>
        <v>0</v>
      </c>
      <c r="E69" s="9" t="n">
        <f aca="false">IF(C69=0, B69, mean(B69:C69))</f>
        <v>0</v>
      </c>
      <c r="F69" s="10" t="n">
        <f aca="false">IF(C69=0, Parametri!$D$8, ABS(B69-C69)/(2*SQRT(3)))</f>
        <v>0.115470053837925</v>
      </c>
      <c r="G69" s="9" t="n">
        <f aca="false">(A69-Parametri!$A$11)+Parametri!$A$2+(Parametri!$A$5/2)</f>
        <v>48</v>
      </c>
      <c r="H69" s="10" t="n">
        <f aca="false">(E69-Parametri!$A$8)-(Dati!A69-Parametri!$A$11)+Parametri!$A$2</f>
        <v>-48</v>
      </c>
      <c r="I69" s="10" t="n">
        <f aca="false">F69</f>
        <v>0.115470053837925</v>
      </c>
      <c r="J69" s="10" t="n">
        <f aca="false">Parametri!$D$8</f>
        <v>0.115470053837925</v>
      </c>
    </row>
    <row r="70" customFormat="false" ht="17.25" hidden="false" customHeight="true" outlineLevel="0" collapsed="false">
      <c r="A70" s="8" t="n">
        <f aca="false">A69+3</f>
        <v>51</v>
      </c>
      <c r="D70" s="9" t="n">
        <f aca="false">B70+2*E70</f>
        <v>0</v>
      </c>
      <c r="E70" s="9" t="n">
        <f aca="false">IF(C70=0, B70, mean(B70:C70))</f>
        <v>0</v>
      </c>
      <c r="F70" s="10" t="n">
        <f aca="false">IF(C70=0, Parametri!$D$8, ABS(B70-C70)/(2*SQRT(3)))</f>
        <v>0.115470053837925</v>
      </c>
      <c r="G70" s="9" t="n">
        <f aca="false">(A70-Parametri!$A$11)+Parametri!$A$2+(Parametri!$A$5/2)</f>
        <v>51</v>
      </c>
      <c r="H70" s="10" t="n">
        <f aca="false">(E70-Parametri!$A$8)-(Dati!A70-Parametri!$A$11)+Parametri!$A$2</f>
        <v>-51</v>
      </c>
      <c r="I70" s="10" t="n">
        <f aca="false">F70</f>
        <v>0.115470053837925</v>
      </c>
      <c r="J70" s="10" t="n">
        <f aca="false">Parametri!$D$8</f>
        <v>0.115470053837925</v>
      </c>
    </row>
    <row r="71" customFormat="false" ht="17.25" hidden="false" customHeight="true" outlineLevel="0" collapsed="false">
      <c r="A71" s="8" t="n">
        <f aca="false">A70+3</f>
        <v>54</v>
      </c>
      <c r="D71" s="9" t="n">
        <f aca="false">B71+2*E71</f>
        <v>0</v>
      </c>
      <c r="E71" s="9" t="n">
        <f aca="false">IF(C71=0, B71, mean(B71:C71))</f>
        <v>0</v>
      </c>
      <c r="F71" s="10" t="n">
        <f aca="false">IF(C71=0, Parametri!$D$8, ABS(B71-C71)/(2*SQRT(3)))</f>
        <v>0.115470053837925</v>
      </c>
      <c r="G71" s="9" t="n">
        <f aca="false">(A71-Parametri!$A$11)+Parametri!$A$2+(Parametri!$A$5/2)</f>
        <v>54</v>
      </c>
      <c r="H71" s="10" t="n">
        <f aca="false">(E71-Parametri!$A$8)-(Dati!A71-Parametri!$A$11)+Parametri!$A$2</f>
        <v>-54</v>
      </c>
      <c r="I71" s="10" t="n">
        <f aca="false">F71</f>
        <v>0.115470053837925</v>
      </c>
      <c r="J71" s="10" t="n">
        <f aca="false">Parametri!$D$8</f>
        <v>0.115470053837925</v>
      </c>
    </row>
    <row r="72" customFormat="false" ht="17.25" hidden="false" customHeight="true" outlineLevel="0" collapsed="false">
      <c r="A72" s="8" t="n">
        <f aca="false">A71+3</f>
        <v>57</v>
      </c>
      <c r="D72" s="9" t="n">
        <f aca="false">B72+2*E72</f>
        <v>0</v>
      </c>
      <c r="E72" s="9" t="n">
        <f aca="false">IF(C72=0, B72, mean(B72:C72))</f>
        <v>0</v>
      </c>
      <c r="F72" s="10" t="n">
        <f aca="false">IF(C72=0, Parametri!$D$8, ABS(B72-C72)/(2*SQRT(3)))</f>
        <v>0.115470053837925</v>
      </c>
      <c r="G72" s="9" t="n">
        <f aca="false">(A72-Parametri!$A$11)+Parametri!$A$2+(Parametri!$A$5/2)</f>
        <v>57</v>
      </c>
      <c r="H72" s="10" t="n">
        <f aca="false">(E72-Parametri!$A$8)-(Dati!A72-Parametri!$A$11)+Parametri!$A$2</f>
        <v>-57</v>
      </c>
      <c r="I72" s="10" t="n">
        <f aca="false">F72</f>
        <v>0.115470053837925</v>
      </c>
      <c r="J72" s="10" t="n">
        <f aca="false">Parametri!$D$8</f>
        <v>0.115470053837925</v>
      </c>
    </row>
    <row r="73" customFormat="false" ht="17.25" hidden="false" customHeight="true" outlineLevel="0" collapsed="false">
      <c r="A73" s="8" t="n">
        <f aca="false">A72+3</f>
        <v>60</v>
      </c>
      <c r="D73" s="9" t="n">
        <f aca="false">B73+2*E73</f>
        <v>0</v>
      </c>
      <c r="E73" s="9" t="n">
        <f aca="false">IF(C73=0, B73, mean(B73:C73))</f>
        <v>0</v>
      </c>
      <c r="F73" s="10" t="n">
        <f aca="false">IF(C73=0, Parametri!$D$8, ABS(B73-C73)/(2*SQRT(3)))</f>
        <v>0.115470053837925</v>
      </c>
      <c r="G73" s="9" t="n">
        <f aca="false">(A73-Parametri!$A$11)+Parametri!$A$2+(Parametri!$A$5/2)</f>
        <v>60</v>
      </c>
      <c r="H73" s="10" t="n">
        <f aca="false">(E73-Parametri!$A$8)-(Dati!A73-Parametri!$A$11)+Parametri!$A$2</f>
        <v>-60</v>
      </c>
      <c r="I73" s="10" t="n">
        <f aca="false">F73</f>
        <v>0.115470053837925</v>
      </c>
      <c r="J73" s="10" t="n">
        <f aca="false">Parametri!$D$8</f>
        <v>0.115470053837925</v>
      </c>
    </row>
    <row r="74" customFormat="false" ht="17.25" hidden="false" customHeight="true" outlineLevel="0" collapsed="false">
      <c r="A74" s="8" t="n">
        <f aca="false">A73+4</f>
        <v>64</v>
      </c>
      <c r="D74" s="9" t="n">
        <f aca="false">B74+2*E74</f>
        <v>0</v>
      </c>
      <c r="E74" s="9" t="n">
        <f aca="false">IF(C74=0, B74, mean(B74:C74))</f>
        <v>0</v>
      </c>
      <c r="F74" s="10" t="n">
        <f aca="false">IF(C74=0, Parametri!$D$8, ABS(B74-C74)/(2*SQRT(3)))</f>
        <v>0.115470053837925</v>
      </c>
      <c r="G74" s="9" t="n">
        <f aca="false">(A74-Parametri!$A$11)+Parametri!$A$2+(Parametri!$A$5/2)</f>
        <v>64</v>
      </c>
      <c r="H74" s="10" t="n">
        <f aca="false">(E74-Parametri!$A$8)-(Dati!A74-Parametri!$A$11)+Parametri!$A$2</f>
        <v>-64</v>
      </c>
      <c r="I74" s="10" t="n">
        <f aca="false">F74</f>
        <v>0.115470053837925</v>
      </c>
      <c r="J74" s="10" t="n">
        <f aca="false">Parametri!$D$8</f>
        <v>0.115470053837925</v>
      </c>
    </row>
    <row r="75" customFormat="false" ht="17.25" hidden="false" customHeight="true" outlineLevel="0" collapsed="false">
      <c r="A75" s="8" t="n">
        <f aca="false">A74+4</f>
        <v>68</v>
      </c>
      <c r="D75" s="9" t="n">
        <f aca="false">B75+2*E75</f>
        <v>0</v>
      </c>
      <c r="E75" s="9" t="n">
        <f aca="false">IF(C75=0, B75, mean(B75:C75))</f>
        <v>0</v>
      </c>
      <c r="F75" s="10" t="n">
        <f aca="false">IF(C75=0, Parametri!$D$8, ABS(B75-C75)/(2*SQRT(3)))</f>
        <v>0.115470053837925</v>
      </c>
      <c r="G75" s="9" t="n">
        <f aca="false">(A75-Parametri!$A$11)+Parametri!$A$2+(Parametri!$A$5/2)</f>
        <v>68</v>
      </c>
      <c r="H75" s="10" t="n">
        <f aca="false">(E75-Parametri!$A$8)-(Dati!A75-Parametri!$A$11)+Parametri!$A$2</f>
        <v>-68</v>
      </c>
      <c r="I75" s="10" t="n">
        <f aca="false">F75</f>
        <v>0.115470053837925</v>
      </c>
      <c r="J75" s="10" t="n">
        <f aca="false">Parametri!$D$8</f>
        <v>0.115470053837925</v>
      </c>
    </row>
    <row r="76" customFormat="false" ht="17.25" hidden="false" customHeight="true" outlineLevel="0" collapsed="false">
      <c r="A76" s="8" t="n">
        <f aca="false">A75+4</f>
        <v>72</v>
      </c>
      <c r="D76" s="9" t="n">
        <f aca="false">B76+2*E76</f>
        <v>0</v>
      </c>
      <c r="E76" s="9" t="n">
        <f aca="false">IF(C76=0, B76, mean(B76:C76))</f>
        <v>0</v>
      </c>
      <c r="F76" s="10" t="n">
        <f aca="false">IF(C76=0, Parametri!$D$8, ABS(B76-C76)/(2*SQRT(3)))</f>
        <v>0.115470053837925</v>
      </c>
      <c r="G76" s="9" t="n">
        <f aca="false">(A76-Parametri!$A$11)+Parametri!$A$2+(Parametri!$A$5/2)</f>
        <v>72</v>
      </c>
      <c r="H76" s="10" t="n">
        <f aca="false">(E76-Parametri!$A$8)-(Dati!A76-Parametri!$A$11)+Parametri!$A$2</f>
        <v>-72</v>
      </c>
      <c r="I76" s="10" t="n">
        <f aca="false">F76</f>
        <v>0.115470053837925</v>
      </c>
      <c r="J76" s="10" t="n">
        <f aca="false">Parametri!$D$8</f>
        <v>0.115470053837925</v>
      </c>
    </row>
    <row r="77" customFormat="false" ht="17.25" hidden="false" customHeight="true" outlineLevel="0" collapsed="false">
      <c r="A77" s="8" t="n">
        <f aca="false">A76+4</f>
        <v>76</v>
      </c>
      <c r="D77" s="9" t="n">
        <f aca="false">B77+2*E77</f>
        <v>0</v>
      </c>
      <c r="E77" s="9" t="n">
        <f aca="false">IF(C77=0, B77, mean(B77:C77))</f>
        <v>0</v>
      </c>
      <c r="F77" s="10" t="n">
        <f aca="false">IF(C77=0, Parametri!$D$8, ABS(B77-C77)/(2*SQRT(3)))</f>
        <v>0.115470053837925</v>
      </c>
      <c r="G77" s="9" t="n">
        <f aca="false">(A77-Parametri!$A$11)+Parametri!$A$2+(Parametri!$A$5/2)</f>
        <v>76</v>
      </c>
      <c r="H77" s="10" t="n">
        <f aca="false">(E77-Parametri!$A$8)-(Dati!A77-Parametri!$A$11)+Parametri!$A$2</f>
        <v>-76</v>
      </c>
      <c r="I77" s="10" t="n">
        <f aca="false">F77</f>
        <v>0.115470053837925</v>
      </c>
      <c r="J77" s="10" t="n">
        <f aca="false">Parametri!$D$8</f>
        <v>0.115470053837925</v>
      </c>
    </row>
    <row r="78" customFormat="false" ht="17.25" hidden="false" customHeight="true" outlineLevel="0" collapsed="false">
      <c r="A78" s="8" t="n">
        <f aca="false">A77+4</f>
        <v>80</v>
      </c>
      <c r="D78" s="9" t="n">
        <f aca="false">B78+2*E78</f>
        <v>0</v>
      </c>
      <c r="E78" s="9" t="n">
        <f aca="false">IF(C78=0, B78, mean(B78:C78))</f>
        <v>0</v>
      </c>
      <c r="F78" s="10" t="n">
        <f aca="false">IF(C78=0, Parametri!$D$8, ABS(B78-C78)/(2*SQRT(3)))</f>
        <v>0.115470053837925</v>
      </c>
      <c r="G78" s="9" t="n">
        <f aca="false">(A78-Parametri!$A$11)+Parametri!$A$2+(Parametri!$A$5/2)</f>
        <v>80</v>
      </c>
      <c r="H78" s="10" t="n">
        <f aca="false">(E78-Parametri!$A$8)-(Dati!A78-Parametri!$A$11)+Parametri!$A$2</f>
        <v>-80</v>
      </c>
      <c r="I78" s="10" t="n">
        <f aca="false">F78</f>
        <v>0.115470053837925</v>
      </c>
      <c r="J78" s="10" t="n">
        <f aca="false">Parametri!$D$8</f>
        <v>0.115470053837925</v>
      </c>
    </row>
    <row r="79" customFormat="false" ht="17.25" hidden="false" customHeight="true" outlineLevel="0" collapsed="false">
      <c r="A79" s="8" t="n">
        <f aca="false">A78+4</f>
        <v>84</v>
      </c>
      <c r="D79" s="9" t="n">
        <f aca="false">B79+2*E79</f>
        <v>0</v>
      </c>
      <c r="E79" s="9" t="n">
        <f aca="false">IF(C79=0, B79, mean(B79:C79))</f>
        <v>0</v>
      </c>
      <c r="F79" s="10" t="n">
        <f aca="false">IF(C79=0, Parametri!$D$8, ABS(B79-C79)/(2*SQRT(3)))</f>
        <v>0.115470053837925</v>
      </c>
      <c r="G79" s="9" t="n">
        <f aca="false">(A79-Parametri!$A$11)+Parametri!$A$2+(Parametri!$A$5/2)</f>
        <v>84</v>
      </c>
      <c r="H79" s="10" t="n">
        <f aca="false">(E79-Parametri!$A$8)-(Dati!A79-Parametri!$A$11)+Parametri!$A$2</f>
        <v>-84</v>
      </c>
      <c r="I79" s="10" t="n">
        <f aca="false">F79</f>
        <v>0.115470053837925</v>
      </c>
      <c r="J79" s="10" t="n">
        <f aca="false">Parametri!$D$8</f>
        <v>0.115470053837925</v>
      </c>
    </row>
    <row r="80" customFormat="false" ht="17.25" hidden="false" customHeight="true" outlineLevel="0" collapsed="false">
      <c r="A80" s="8" t="n">
        <f aca="false">A79+4</f>
        <v>88</v>
      </c>
      <c r="D80" s="9" t="n">
        <f aca="false">B80+2*E80</f>
        <v>0</v>
      </c>
      <c r="E80" s="9" t="n">
        <f aca="false">IF(C80=0, B80, mean(B80:C80))</f>
        <v>0</v>
      </c>
      <c r="F80" s="10" t="n">
        <f aca="false">IF(C80=0, Parametri!$D$8, ABS(B80-C80)/(2*SQRT(3)))</f>
        <v>0.115470053837925</v>
      </c>
      <c r="G80" s="9" t="n">
        <f aca="false">(A80-Parametri!$A$11)+Parametri!$A$2+(Parametri!$A$5/2)</f>
        <v>88</v>
      </c>
      <c r="H80" s="10" t="n">
        <f aca="false">(E80-Parametri!$A$8)-(Dati!A80-Parametri!$A$11)+Parametri!$A$2</f>
        <v>-88</v>
      </c>
      <c r="I80" s="10" t="n">
        <f aca="false">F80</f>
        <v>0.115470053837925</v>
      </c>
      <c r="J80" s="10" t="n">
        <f aca="false">Parametri!$D$8</f>
        <v>0.115470053837925</v>
      </c>
    </row>
    <row r="81" customFormat="false" ht="17.25" hidden="false" customHeight="true" outlineLevel="0" collapsed="false">
      <c r="A81" s="8" t="n">
        <f aca="false">A80+4</f>
        <v>92</v>
      </c>
      <c r="D81" s="9" t="n">
        <f aca="false">B81+2*E81</f>
        <v>0</v>
      </c>
      <c r="E81" s="9" t="n">
        <f aca="false">IF(C81=0, B81, mean(B81:C81))</f>
        <v>0</v>
      </c>
      <c r="F81" s="10" t="n">
        <f aca="false">IF(C81=0, Parametri!$D$8, ABS(B81-C81)/(2*SQRT(3)))</f>
        <v>0.115470053837925</v>
      </c>
      <c r="G81" s="9" t="n">
        <f aca="false">(A81-Parametri!$A$11)+Parametri!$A$2+(Parametri!$A$5/2)</f>
        <v>92</v>
      </c>
      <c r="H81" s="10" t="n">
        <f aca="false">(E81-Parametri!$A$8)-(Dati!A81-Parametri!$A$11)+Parametri!$A$2</f>
        <v>-92</v>
      </c>
      <c r="I81" s="10" t="n">
        <f aca="false">F81</f>
        <v>0.115470053837925</v>
      </c>
      <c r="J81" s="10" t="n">
        <f aca="false">Parametri!$D$8</f>
        <v>0.115470053837925</v>
      </c>
    </row>
    <row r="82" customFormat="false" ht="17.25" hidden="false" customHeight="true" outlineLevel="0" collapsed="false">
      <c r="A82" s="8" t="n">
        <f aca="false">A81+5</f>
        <v>97</v>
      </c>
      <c r="D82" s="9" t="n">
        <f aca="false">B82+2*E82</f>
        <v>0</v>
      </c>
      <c r="E82" s="9" t="n">
        <f aca="false">IF(C82=0, B82, mean(B82:C82))</f>
        <v>0</v>
      </c>
      <c r="F82" s="10" t="n">
        <f aca="false">IF(C82=0, Parametri!$D$8, ABS(B82-C82)/(2*SQRT(3)))</f>
        <v>0.115470053837925</v>
      </c>
      <c r="G82" s="9" t="n">
        <f aca="false">(A82-Parametri!$A$11)+Parametri!$A$2+(Parametri!$A$5/2)</f>
        <v>97</v>
      </c>
      <c r="H82" s="10" t="n">
        <f aca="false">(E82-Parametri!$A$8)-(Dati!A82-Parametri!$A$11)+Parametri!$A$2</f>
        <v>-97</v>
      </c>
      <c r="I82" s="10" t="n">
        <f aca="false">F82</f>
        <v>0.115470053837925</v>
      </c>
      <c r="J82" s="10" t="n">
        <f aca="false">Parametri!$D$8</f>
        <v>0.115470053837925</v>
      </c>
    </row>
    <row r="83" customFormat="false" ht="17.25" hidden="false" customHeight="true" outlineLevel="0" collapsed="false">
      <c r="A83" s="8" t="n">
        <f aca="false">A82+5</f>
        <v>102</v>
      </c>
      <c r="D83" s="9" t="n">
        <f aca="false">B83+2*E83</f>
        <v>0</v>
      </c>
      <c r="E83" s="9" t="n">
        <f aca="false">IF(C83=0, B83, mean(B83:C83))</f>
        <v>0</v>
      </c>
      <c r="F83" s="10" t="n">
        <f aca="false">IF(C83=0, Parametri!$D$8, ABS(B83-C83)/(2*SQRT(3)))</f>
        <v>0.115470053837925</v>
      </c>
      <c r="G83" s="9" t="n">
        <f aca="false">(A83-Parametri!$A$11)+Parametri!$A$2+(Parametri!$A$5/2)</f>
        <v>102</v>
      </c>
      <c r="H83" s="10" t="n">
        <f aca="false">(E83-Parametri!$A$8)-(Dati!A83-Parametri!$A$11)+Parametri!$A$2</f>
        <v>-102</v>
      </c>
      <c r="I83" s="10" t="n">
        <f aca="false">F83</f>
        <v>0.115470053837925</v>
      </c>
      <c r="J83" s="10" t="n">
        <f aca="false">Parametri!$D$8</f>
        <v>0.115470053837925</v>
      </c>
    </row>
    <row r="84" customFormat="false" ht="17.25" hidden="false" customHeight="true" outlineLevel="0" collapsed="false">
      <c r="A84" s="8" t="n">
        <f aca="false">A83+5</f>
        <v>107</v>
      </c>
      <c r="D84" s="9" t="n">
        <f aca="false">B84+2*E84</f>
        <v>0</v>
      </c>
      <c r="E84" s="9" t="n">
        <f aca="false">IF(C84=0, B84, mean(B84:C84))</f>
        <v>0</v>
      </c>
      <c r="F84" s="10" t="n">
        <f aca="false">IF(C84=0, Parametri!$D$8, ABS(B84-C84)/(2*SQRT(3)))</f>
        <v>0.115470053837925</v>
      </c>
      <c r="G84" s="9" t="n">
        <f aca="false">(A84-Parametri!$A$11)+Parametri!$A$2+(Parametri!$A$5/2)</f>
        <v>107</v>
      </c>
      <c r="H84" s="10" t="n">
        <f aca="false">(E84-Parametri!$A$8)-(Dati!A84-Parametri!$A$11)+Parametri!$A$2</f>
        <v>-107</v>
      </c>
      <c r="I84" s="10" t="n">
        <f aca="false">F84</f>
        <v>0.115470053837925</v>
      </c>
      <c r="J84" s="10" t="n">
        <f aca="false">Parametri!$D$8</f>
        <v>0.115470053837925</v>
      </c>
    </row>
    <row r="85" customFormat="false" ht="17.25" hidden="false" customHeight="true" outlineLevel="0" collapsed="false">
      <c r="A85" s="8" t="n">
        <f aca="false">A84+5</f>
        <v>112</v>
      </c>
      <c r="D85" s="9" t="n">
        <f aca="false">B85+2*E85</f>
        <v>0</v>
      </c>
      <c r="E85" s="9" t="n">
        <f aca="false">IF(C85=0, B85, mean(B85:C85))</f>
        <v>0</v>
      </c>
      <c r="F85" s="10" t="n">
        <f aca="false">IF(C85=0, Parametri!$D$8, ABS(B85-C85)/(2*SQRT(3)))</f>
        <v>0.115470053837925</v>
      </c>
      <c r="G85" s="9" t="n">
        <f aca="false">(A85-Parametri!$A$11)+Parametri!$A$2+(Parametri!$A$5/2)</f>
        <v>112</v>
      </c>
      <c r="H85" s="10" t="n">
        <f aca="false">(E85-Parametri!$A$8)-(Dati!A85-Parametri!$A$11)+Parametri!$A$2</f>
        <v>-112</v>
      </c>
      <c r="I85" s="10" t="n">
        <f aca="false">F85</f>
        <v>0.115470053837925</v>
      </c>
      <c r="J85" s="10" t="n">
        <f aca="false">Parametri!$D$8</f>
        <v>0.115470053837925</v>
      </c>
    </row>
    <row r="86" customFormat="false" ht="17.25" hidden="false" customHeight="true" outlineLevel="0" collapsed="false">
      <c r="A86" s="8" t="n">
        <f aca="false">A85+5</f>
        <v>117</v>
      </c>
      <c r="D86" s="9" t="n">
        <f aca="false">B86+2*E86</f>
        <v>0</v>
      </c>
      <c r="E86" s="9" t="n">
        <f aca="false">IF(C86=0, B86, mean(B86:C86))</f>
        <v>0</v>
      </c>
      <c r="F86" s="10" t="n">
        <f aca="false">IF(C86=0, Parametri!$D$8, ABS(B86-C86)/(2*SQRT(3)))</f>
        <v>0.115470053837925</v>
      </c>
      <c r="G86" s="9" t="n">
        <f aca="false">(A86-Parametri!$A$11)+Parametri!$A$2+(Parametri!$A$5/2)</f>
        <v>117</v>
      </c>
      <c r="H86" s="10" t="n">
        <f aca="false">(E86-Parametri!$A$8)-(Dati!A86-Parametri!$A$11)+Parametri!$A$2</f>
        <v>-117</v>
      </c>
      <c r="I86" s="10" t="n">
        <f aca="false">F86</f>
        <v>0.115470053837925</v>
      </c>
      <c r="J86" s="10" t="n">
        <f aca="false">Parametri!$D$8</f>
        <v>0.115470053837925</v>
      </c>
    </row>
    <row r="87" customFormat="false" ht="17.25" hidden="false" customHeight="true" outlineLevel="0" collapsed="false">
      <c r="A87" s="8" t="n">
        <f aca="false">A86+5</f>
        <v>122</v>
      </c>
      <c r="D87" s="9" t="n">
        <f aca="false">B87+2*E87</f>
        <v>0</v>
      </c>
      <c r="E87" s="9" t="n">
        <f aca="false">IF(C87=0, B87, mean(B87:C87))</f>
        <v>0</v>
      </c>
      <c r="F87" s="10" t="n">
        <f aca="false">IF(C87=0, Parametri!$D$8, ABS(B87-C87)/(2*SQRT(3)))</f>
        <v>0.115470053837925</v>
      </c>
      <c r="G87" s="9" t="n">
        <f aca="false">(A87-Parametri!$A$11)+Parametri!$A$2+(Parametri!$A$5/2)</f>
        <v>122</v>
      </c>
      <c r="H87" s="10" t="n">
        <f aca="false">(E87-Parametri!$A$8)-(Dati!A87-Parametri!$A$11)+Parametri!$A$2</f>
        <v>-122</v>
      </c>
      <c r="I87" s="10" t="n">
        <f aca="false">F87</f>
        <v>0.115470053837925</v>
      </c>
      <c r="J87" s="10" t="n">
        <f aca="false">Parametri!$D$8</f>
        <v>0.115470053837925</v>
      </c>
    </row>
    <row r="88" customFormat="false" ht="17.25" hidden="false" customHeight="true" outlineLevel="0" collapsed="false">
      <c r="A88" s="8" t="n">
        <f aca="false">A87+5</f>
        <v>127</v>
      </c>
      <c r="D88" s="9" t="n">
        <f aca="false">B88+2*E88</f>
        <v>0</v>
      </c>
      <c r="E88" s="9" t="n">
        <f aca="false">IF(C88=0, B88, mean(B88:C88))</f>
        <v>0</v>
      </c>
      <c r="F88" s="10" t="n">
        <f aca="false">IF(C88=0, Parametri!$D$8, ABS(B88-C88)/(2*SQRT(3)))</f>
        <v>0.115470053837925</v>
      </c>
      <c r="G88" s="9" t="n">
        <f aca="false">(A88-Parametri!$A$11)+Parametri!$A$2+(Parametri!$A$5/2)</f>
        <v>127</v>
      </c>
      <c r="H88" s="10" t="n">
        <f aca="false">(E88-Parametri!$A$8)-(Dati!A88-Parametri!$A$11)+Parametri!$A$2</f>
        <v>-127</v>
      </c>
      <c r="I88" s="10" t="n">
        <f aca="false">F88</f>
        <v>0.115470053837925</v>
      </c>
      <c r="J88" s="10" t="n">
        <f aca="false">Parametri!$D$8</f>
        <v>0.115470053837925</v>
      </c>
    </row>
    <row r="89" customFormat="false" ht="17.25" hidden="false" customHeight="true" outlineLevel="0" collapsed="false">
      <c r="A89" s="8" t="n">
        <f aca="false">A88+5</f>
        <v>132</v>
      </c>
      <c r="D89" s="9" t="n">
        <f aca="false">B89+2*E89</f>
        <v>0</v>
      </c>
      <c r="E89" s="9" t="n">
        <f aca="false">IF(C89=0, B89, mean(B89:C89))</f>
        <v>0</v>
      </c>
      <c r="F89" s="10" t="n">
        <f aca="false">IF(C89=0, Parametri!$D$8, ABS(B89-C89)/(2*SQRT(3)))</f>
        <v>0.115470053837925</v>
      </c>
      <c r="G89" s="9" t="n">
        <f aca="false">(A89-Parametri!$A$11)+Parametri!$A$2+(Parametri!$A$5/2)</f>
        <v>132</v>
      </c>
      <c r="H89" s="10" t="n">
        <f aca="false">(E89-Parametri!$A$8)-(Dati!A89-Parametri!$A$11)+Parametri!$A$2</f>
        <v>-132</v>
      </c>
      <c r="I89" s="10" t="n">
        <f aca="false">F89</f>
        <v>0.115470053837925</v>
      </c>
      <c r="J89" s="10" t="n">
        <f aca="false">Parametri!$D$8</f>
        <v>0.115470053837925</v>
      </c>
    </row>
    <row r="90" customFormat="false" ht="17.25" hidden="false" customHeight="true" outlineLevel="0" collapsed="false">
      <c r="A90" s="8" t="n">
        <f aca="false">A89+7</f>
        <v>139</v>
      </c>
      <c r="D90" s="9" t="n">
        <f aca="false">B90+2*E90</f>
        <v>0</v>
      </c>
      <c r="E90" s="9" t="n">
        <f aca="false">IF(C90=0, B90, mean(B90:C90))</f>
        <v>0</v>
      </c>
      <c r="F90" s="10" t="n">
        <f aca="false">IF(C90=0, Parametri!$D$8, ABS(B90-C90)/(2*SQRT(3)))</f>
        <v>0.115470053837925</v>
      </c>
      <c r="G90" s="9" t="n">
        <f aca="false">(A90-Parametri!$A$11)+Parametri!$A$2+(Parametri!$A$5/2)</f>
        <v>139</v>
      </c>
      <c r="H90" s="10" t="n">
        <f aca="false">(E90-Parametri!$A$8)-(Dati!A90-Parametri!$A$11)+Parametri!$A$2</f>
        <v>-139</v>
      </c>
      <c r="I90" s="10" t="n">
        <f aca="false">F90</f>
        <v>0.115470053837925</v>
      </c>
      <c r="J90" s="10" t="n">
        <f aca="false">Parametri!$D$8</f>
        <v>0.115470053837925</v>
      </c>
    </row>
    <row r="91" customFormat="false" ht="17.25" hidden="false" customHeight="true" outlineLevel="0" collapsed="false">
      <c r="A91" s="8" t="n">
        <f aca="false">A90+7</f>
        <v>146</v>
      </c>
      <c r="D91" s="9" t="n">
        <f aca="false">B91+2*E91</f>
        <v>0</v>
      </c>
      <c r="E91" s="9" t="n">
        <f aca="false">IF(C91=0, B91, mean(B91:C91))</f>
        <v>0</v>
      </c>
      <c r="F91" s="10" t="n">
        <f aca="false">IF(C91=0, Parametri!$D$8, ABS(B91-C91)/(2*SQRT(3)))</f>
        <v>0.115470053837925</v>
      </c>
      <c r="G91" s="9" t="n">
        <f aca="false">(A91-Parametri!$A$11)+Parametri!$A$2+(Parametri!$A$5/2)</f>
        <v>146</v>
      </c>
      <c r="H91" s="10" t="n">
        <f aca="false">(E91-Parametri!$A$8)-(Dati!A91-Parametri!$A$11)+Parametri!$A$2</f>
        <v>-146</v>
      </c>
      <c r="I91" s="10" t="n">
        <f aca="false">F91</f>
        <v>0.115470053837925</v>
      </c>
      <c r="J91" s="10" t="n">
        <f aca="false">Parametri!$D$8</f>
        <v>0.115470053837925</v>
      </c>
    </row>
    <row r="92" customFormat="false" ht="17.25" hidden="false" customHeight="true" outlineLevel="0" collapsed="false">
      <c r="A92" s="8" t="n">
        <f aca="false">A91+7</f>
        <v>153</v>
      </c>
      <c r="D92" s="9" t="n">
        <f aca="false">B92+2*E92</f>
        <v>0</v>
      </c>
      <c r="E92" s="9" t="n">
        <f aca="false">IF(C92=0, B92, mean(B92:C92))</f>
        <v>0</v>
      </c>
      <c r="F92" s="10" t="n">
        <f aca="false">IF(C92=0, Parametri!$D$8, ABS(B92-C92)/(2*SQRT(3)))</f>
        <v>0.115470053837925</v>
      </c>
      <c r="G92" s="9" t="n">
        <f aca="false">(A92-Parametri!$A$11)+Parametri!$A$2+(Parametri!$A$5/2)</f>
        <v>153</v>
      </c>
      <c r="H92" s="10" t="n">
        <f aca="false">(E92-Parametri!$A$8)-(Dati!A92-Parametri!$A$11)+Parametri!$A$2</f>
        <v>-153</v>
      </c>
      <c r="I92" s="10" t="n">
        <f aca="false">F92</f>
        <v>0.115470053837925</v>
      </c>
      <c r="J92" s="10" t="n">
        <f aca="false">Parametri!$D$8</f>
        <v>0.115470053837925</v>
      </c>
    </row>
    <row r="93" customFormat="false" ht="17.25" hidden="false" customHeight="true" outlineLevel="0" collapsed="false">
      <c r="A93" s="8" t="n">
        <f aca="false">A92+7</f>
        <v>160</v>
      </c>
      <c r="D93" s="9" t="n">
        <f aca="false">B93+2*E93</f>
        <v>0</v>
      </c>
      <c r="E93" s="9" t="n">
        <f aca="false">IF(C93=0, B93, mean(B93:C93))</f>
        <v>0</v>
      </c>
      <c r="F93" s="10" t="n">
        <f aca="false">IF(C93=0, Parametri!$D$8, ABS(B93-C93)/(2*SQRT(3)))</f>
        <v>0.115470053837925</v>
      </c>
      <c r="G93" s="9" t="n">
        <f aca="false">(A93-Parametri!$A$11)+Parametri!$A$2+(Parametri!$A$5/2)</f>
        <v>160</v>
      </c>
      <c r="H93" s="10" t="n">
        <f aca="false">(E93-Parametri!$A$8)-(Dati!A93-Parametri!$A$11)+Parametri!$A$2</f>
        <v>-160</v>
      </c>
      <c r="I93" s="10" t="n">
        <f aca="false">F93</f>
        <v>0.115470053837925</v>
      </c>
      <c r="J93" s="10" t="n">
        <f aca="false">Parametri!$D$8</f>
        <v>0.115470053837925</v>
      </c>
    </row>
    <row r="94" customFormat="false" ht="17.25" hidden="false" customHeight="true" outlineLevel="0" collapsed="false">
      <c r="A94" s="8" t="n">
        <f aca="false">A93+10</f>
        <v>170</v>
      </c>
      <c r="D94" s="9" t="n">
        <f aca="false">B94+2*E94</f>
        <v>0</v>
      </c>
      <c r="E94" s="9" t="n">
        <f aca="false">IF(C94=0, B94, mean(B94:C94))</f>
        <v>0</v>
      </c>
      <c r="F94" s="10" t="n">
        <f aca="false">IF(C94=0, Parametri!$D$8, ABS(B94-C94)/(2*SQRT(3)))</f>
        <v>0.115470053837925</v>
      </c>
      <c r="G94" s="9" t="n">
        <f aca="false">(A94-Parametri!$A$11)+Parametri!$A$2+(Parametri!$A$5/2)</f>
        <v>170</v>
      </c>
      <c r="H94" s="10" t="n">
        <f aca="false">(E94-Parametri!$A$8)-(Dati!A94-Parametri!$A$11)+Parametri!$A$2</f>
        <v>-170</v>
      </c>
      <c r="I94" s="10" t="n">
        <f aca="false">F94</f>
        <v>0.115470053837925</v>
      </c>
      <c r="J94" s="10" t="n">
        <f aca="false">Parametri!$D$8</f>
        <v>0.115470053837925</v>
      </c>
    </row>
    <row r="95" customFormat="false" ht="17.25" hidden="false" customHeight="true" outlineLevel="0" collapsed="false">
      <c r="A95" s="8" t="n">
        <f aca="false">A94+10</f>
        <v>180</v>
      </c>
      <c r="D95" s="9" t="n">
        <f aca="false">B95+2*E95</f>
        <v>0</v>
      </c>
      <c r="E95" s="9" t="n">
        <f aca="false">IF(C95=0, B95, mean(B95:C95))</f>
        <v>0</v>
      </c>
      <c r="F95" s="10" t="n">
        <f aca="false">IF(C95=0, Parametri!$D$8, ABS(B95-C95)/(2*SQRT(3)))</f>
        <v>0.115470053837925</v>
      </c>
      <c r="G95" s="9" t="n">
        <f aca="false">(A95-Parametri!$A$11)+Parametri!$A$2+(Parametri!$A$5/2)</f>
        <v>180</v>
      </c>
      <c r="H95" s="10" t="n">
        <f aca="false">(E95-Parametri!$A$8)-(Dati!A95-Parametri!$A$11)+Parametri!$A$2</f>
        <v>-180</v>
      </c>
      <c r="I95" s="10" t="n">
        <f aca="false">F95</f>
        <v>0.115470053837925</v>
      </c>
      <c r="J95" s="10" t="n">
        <f aca="false">Parametri!$D$8</f>
        <v>0.115470053837925</v>
      </c>
    </row>
    <row r="96" customFormat="false" ht="17.25" hidden="false" customHeight="true" outlineLevel="0" collapsed="false">
      <c r="A96" s="8" t="n">
        <f aca="false">A95+10</f>
        <v>190</v>
      </c>
      <c r="D96" s="9" t="n">
        <f aca="false">B96+2*E96</f>
        <v>0</v>
      </c>
      <c r="E96" s="9" t="n">
        <f aca="false">IF(C96=0, B96, mean(B96:C96))</f>
        <v>0</v>
      </c>
      <c r="F96" s="10" t="n">
        <f aca="false">IF(C96=0, Parametri!$D$8, ABS(B96-C96)/(2*SQRT(3)))</f>
        <v>0.115470053837925</v>
      </c>
      <c r="G96" s="9" t="n">
        <f aca="false">(A96-Parametri!$A$11)+Parametri!$A$2+(Parametri!$A$5/2)</f>
        <v>190</v>
      </c>
      <c r="H96" s="10" t="n">
        <f aca="false">(E96-Parametri!$A$8)-(Dati!A96-Parametri!$A$11)+Parametri!$A$2</f>
        <v>-190</v>
      </c>
      <c r="I96" s="10" t="n">
        <f aca="false">F96</f>
        <v>0.115470053837925</v>
      </c>
      <c r="J96" s="10" t="n">
        <f aca="false">Parametri!$D$8</f>
        <v>0.115470053837925</v>
      </c>
    </row>
    <row r="97" customFormat="false" ht="17.25" hidden="false" customHeight="true" outlineLevel="0" collapsed="false">
      <c r="A97" s="8" t="n">
        <f aca="false">A96+10</f>
        <v>200</v>
      </c>
      <c r="D97" s="9" t="n">
        <f aca="false">B97+2*E97</f>
        <v>0</v>
      </c>
      <c r="E97" s="9" t="n">
        <f aca="false">IF(C97=0, B97, mean(B97:C97))</f>
        <v>0</v>
      </c>
      <c r="F97" s="10" t="n">
        <f aca="false">IF(C97=0, Parametri!$D$8, ABS(B97-C97)/(2*SQRT(3)))</f>
        <v>0.115470053837925</v>
      </c>
      <c r="G97" s="9" t="n">
        <f aca="false">(A97-Parametri!$A$11)+Parametri!$A$2+(Parametri!$A$5/2)</f>
        <v>200</v>
      </c>
      <c r="H97" s="10" t="n">
        <f aca="false">(E97-Parametri!$A$8)-(Dati!A97-Parametri!$A$11)+Parametri!$A$2</f>
        <v>-200</v>
      </c>
      <c r="I97" s="10" t="n">
        <f aca="false">F97</f>
        <v>0.115470053837925</v>
      </c>
      <c r="J97" s="10" t="n">
        <f aca="false">Parametri!$D$8</f>
        <v>0.115470053837925</v>
      </c>
    </row>
    <row r="98" customFormat="false" ht="17.25" hidden="false" customHeight="true" outlineLevel="0" collapsed="false">
      <c r="A98" s="8" t="n">
        <f aca="false">A97+10</f>
        <v>210</v>
      </c>
      <c r="D98" s="9" t="n">
        <f aca="false">B98+2*E98</f>
        <v>0</v>
      </c>
      <c r="E98" s="9" t="n">
        <f aca="false">IF(C98=0, B98, mean(B98:C98))</f>
        <v>0</v>
      </c>
      <c r="F98" s="10" t="n">
        <f aca="false">IF(C98=0, Parametri!$D$8, ABS(B98-C98)/(2*SQRT(3)))</f>
        <v>0.115470053837925</v>
      </c>
      <c r="G98" s="9" t="n">
        <f aca="false">(A98-Parametri!$A$11)+Parametri!$A$2+(Parametri!$A$5/2)</f>
        <v>210</v>
      </c>
      <c r="H98" s="10" t="n">
        <f aca="false">(E98-Parametri!$A$8)-(Dati!A98-Parametri!$A$11)+Parametri!$A$2</f>
        <v>-210</v>
      </c>
      <c r="I98" s="10" t="n">
        <f aca="false">F98</f>
        <v>0.115470053837925</v>
      </c>
      <c r="J98" s="10" t="n">
        <f aca="false">Parametri!$D$8</f>
        <v>0.115470053837925</v>
      </c>
    </row>
    <row r="99" customFormat="false" ht="17.25" hidden="false" customHeight="true" outlineLevel="0" collapsed="false">
      <c r="A99" s="8" t="n">
        <f aca="false">A98+10</f>
        <v>220</v>
      </c>
      <c r="D99" s="9" t="n">
        <f aca="false">B99+2*E99</f>
        <v>0</v>
      </c>
      <c r="E99" s="9" t="n">
        <f aca="false">IF(C99=0, B99, mean(B99:C99))</f>
        <v>0</v>
      </c>
      <c r="F99" s="10" t="n">
        <f aca="false">IF(C99=0, Parametri!$D$8, ABS(B99-C99)/(2*SQRT(3)))</f>
        <v>0.115470053837925</v>
      </c>
      <c r="G99" s="9" t="n">
        <f aca="false">(A99-Parametri!$A$11)+Parametri!$A$2+(Parametri!$A$5/2)</f>
        <v>220</v>
      </c>
      <c r="H99" s="10" t="n">
        <f aca="false">(E99-Parametri!$A$8)-(Dati!A99-Parametri!$A$11)+Parametri!$A$2</f>
        <v>-220</v>
      </c>
      <c r="I99" s="10" t="n">
        <f aca="false">F99</f>
        <v>0.115470053837925</v>
      </c>
      <c r="J99" s="10" t="n">
        <f aca="false">Parametri!$D$8</f>
        <v>0.115470053837925</v>
      </c>
    </row>
    <row r="100" customFormat="false" ht="17.25" hidden="false" customHeight="true" outlineLevel="0" collapsed="false">
      <c r="A100" s="8" t="n">
        <f aca="false">A99+10</f>
        <v>230</v>
      </c>
      <c r="D100" s="9" t="n">
        <f aca="false">B100+2*E100</f>
        <v>0</v>
      </c>
      <c r="E100" s="9" t="n">
        <f aca="false">IF(C100=0, B100, mean(B100:C100))</f>
        <v>0</v>
      </c>
      <c r="F100" s="10" t="n">
        <f aca="false">IF(C100=0, Parametri!$D$8, ABS(B100-C100)/(2*SQRT(3)))</f>
        <v>0.115470053837925</v>
      </c>
      <c r="G100" s="9" t="n">
        <f aca="false">(A100-Parametri!$A$11)+Parametri!$A$2+(Parametri!$A$5/2)</f>
        <v>230</v>
      </c>
      <c r="H100" s="10" t="n">
        <f aca="false">(E100-Parametri!$A$8)-(Dati!A100-Parametri!$A$11)+Parametri!$A$2</f>
        <v>-230</v>
      </c>
      <c r="I100" s="10" t="n">
        <f aca="false">F100</f>
        <v>0.115470053837925</v>
      </c>
      <c r="J100" s="10" t="n">
        <f aca="false">Parametri!$D$8</f>
        <v>0.115470053837925</v>
      </c>
    </row>
    <row r="101" customFormat="false" ht="17.25" hidden="false" customHeight="true" outlineLevel="0" collapsed="false">
      <c r="A101" s="8" t="n">
        <f aca="false">A100+10</f>
        <v>240</v>
      </c>
      <c r="D101" s="9" t="n">
        <f aca="false">B101+2*E101</f>
        <v>0</v>
      </c>
      <c r="E101" s="9" t="n">
        <f aca="false">IF(C101=0, B101, mean(B101:C101))</f>
        <v>0</v>
      </c>
      <c r="F101" s="10" t="n">
        <f aca="false">IF(C101=0, Parametri!$D$8, ABS(B101-C101)/(2*SQRT(3)))</f>
        <v>0.115470053837925</v>
      </c>
      <c r="G101" s="9" t="n">
        <f aca="false">(A101-Parametri!$A$11)+Parametri!$A$2+(Parametri!$A$5/2)</f>
        <v>240</v>
      </c>
      <c r="H101" s="10" t="n">
        <f aca="false">(E101-Parametri!$A$8)-(Dati!A101-Parametri!$A$11)+Parametri!$A$2</f>
        <v>-240</v>
      </c>
      <c r="I101" s="10" t="n">
        <f aca="false">F101</f>
        <v>0.115470053837925</v>
      </c>
      <c r="J101" s="10" t="n">
        <f aca="false">Parametri!$D$8</f>
        <v>0.115470053837925</v>
      </c>
    </row>
    <row r="102" customFormat="false" ht="17.25" hidden="false" customHeight="true" outlineLevel="0" collapsed="false">
      <c r="A102" s="8" t="n">
        <f aca="false">A101+10</f>
        <v>250</v>
      </c>
      <c r="D102" s="9" t="n">
        <f aca="false">B102+2*E102</f>
        <v>0</v>
      </c>
      <c r="E102" s="9" t="n">
        <f aca="false">IF(C102=0, B102, mean(B102:C102))</f>
        <v>0</v>
      </c>
      <c r="F102" s="10" t="n">
        <f aca="false">IF(C102=0, Parametri!$D$8, ABS(B102-C102)/(2*SQRT(3)))</f>
        <v>0.115470053837925</v>
      </c>
      <c r="G102" s="9" t="n">
        <f aca="false">(A102-Parametri!$A$11)+Parametri!$A$2+(Parametri!$A$5/2)</f>
        <v>250</v>
      </c>
      <c r="H102" s="10" t="n">
        <f aca="false">(E102-Parametri!$A$8)-(Dati!A102-Parametri!$A$11)+Parametri!$A$2</f>
        <v>-250</v>
      </c>
      <c r="I102" s="10" t="n">
        <f aca="false">F102</f>
        <v>0.115470053837925</v>
      </c>
      <c r="J102" s="10" t="n">
        <f aca="false">Parametri!$D$8</f>
        <v>0.115470053837925</v>
      </c>
    </row>
    <row r="103" customFormat="false" ht="17.25" hidden="false" customHeight="true" outlineLevel="0" collapsed="false">
      <c r="A103" s="8" t="n">
        <f aca="false">A102+10</f>
        <v>260</v>
      </c>
      <c r="D103" s="9" t="n">
        <f aca="false">B103+2*E103</f>
        <v>0</v>
      </c>
      <c r="E103" s="9" t="n">
        <f aca="false">IF(C103=0, B103, mean(B103:C103))</f>
        <v>0</v>
      </c>
      <c r="F103" s="10" t="n">
        <f aca="false">IF(C103=0, Parametri!$D$8, ABS(B103-C103)/(2*SQRT(3)))</f>
        <v>0.115470053837925</v>
      </c>
      <c r="G103" s="9" t="n">
        <f aca="false">(A103-Parametri!$A$11)+Parametri!$A$2+(Parametri!$A$5/2)</f>
        <v>260</v>
      </c>
      <c r="H103" s="10" t="n">
        <f aca="false">(E103-Parametri!$A$8)-(Dati!A103-Parametri!$A$11)+Parametri!$A$2</f>
        <v>-260</v>
      </c>
      <c r="I103" s="10" t="n">
        <f aca="false">F103</f>
        <v>0.115470053837925</v>
      </c>
      <c r="J103" s="10" t="n">
        <f aca="false">Parametri!$D$8</f>
        <v>0.115470053837925</v>
      </c>
    </row>
    <row r="104" customFormat="false" ht="17.25" hidden="false" customHeight="true" outlineLevel="0" collapsed="false">
      <c r="A104" s="8" t="n">
        <f aca="false">A103+20</f>
        <v>280</v>
      </c>
      <c r="D104" s="9" t="n">
        <f aca="false">B104+2*E104</f>
        <v>0</v>
      </c>
      <c r="E104" s="9" t="n">
        <f aca="false">IF(C104=0, B104, mean(B104:C104))</f>
        <v>0</v>
      </c>
      <c r="F104" s="10" t="n">
        <f aca="false">IF(C104=0, Parametri!$D$8, ABS(B104-C104)/(2*SQRT(3)))</f>
        <v>0.115470053837925</v>
      </c>
      <c r="G104" s="9" t="n">
        <f aca="false">(A104-Parametri!$A$11)+Parametri!$A$2+(Parametri!$A$5/2)</f>
        <v>280</v>
      </c>
      <c r="H104" s="10" t="n">
        <f aca="false">(E104-Parametri!$A$8)-(Dati!A104-Parametri!$A$11)+Parametri!$A$2</f>
        <v>-280</v>
      </c>
      <c r="I104" s="10" t="n">
        <f aca="false">F104</f>
        <v>0.115470053837925</v>
      </c>
      <c r="J104" s="10" t="n">
        <f aca="false">Parametri!$D$8</f>
        <v>0.115470053837925</v>
      </c>
    </row>
    <row r="105" customFormat="false" ht="17.25" hidden="false" customHeight="true" outlineLevel="0" collapsed="false">
      <c r="A105" s="8" t="n">
        <f aca="false">A104+20</f>
        <v>300</v>
      </c>
      <c r="D105" s="9" t="n">
        <f aca="false">B105+2*E105</f>
        <v>0</v>
      </c>
      <c r="E105" s="9" t="n">
        <f aca="false">IF(C105=0, B105, mean(B105:C105))</f>
        <v>0</v>
      </c>
      <c r="F105" s="10" t="n">
        <f aca="false">IF(C105=0, Parametri!$D$8, ABS(B105-C105)/(2*SQRT(3)))</f>
        <v>0.115470053837925</v>
      </c>
      <c r="G105" s="9" t="n">
        <f aca="false">(A105-Parametri!$A$11)+Parametri!$A$2+(Parametri!$A$5/2)</f>
        <v>300</v>
      </c>
      <c r="H105" s="10" t="n">
        <f aca="false">(E105-Parametri!$A$8)-(Dati!A105-Parametri!$A$11)+Parametri!$A$2</f>
        <v>-300</v>
      </c>
      <c r="I105" s="10" t="n">
        <f aca="false">F105</f>
        <v>0.115470053837925</v>
      </c>
      <c r="J105" s="10" t="n">
        <f aca="false">Parametri!$D$8</f>
        <v>0.115470053837925</v>
      </c>
    </row>
    <row r="106" customFormat="false" ht="17.25" hidden="false" customHeight="true" outlineLevel="0" collapsed="false">
      <c r="A106" s="8" t="n">
        <f aca="false">A105+20</f>
        <v>320</v>
      </c>
      <c r="D106" s="9" t="n">
        <f aca="false">B106+2*E106</f>
        <v>0</v>
      </c>
      <c r="E106" s="9" t="n">
        <f aca="false">IF(C106=0, B106, mean(B106:C106))</f>
        <v>0</v>
      </c>
      <c r="F106" s="10" t="n">
        <f aca="false">IF(C106=0, Parametri!$D$8, ABS(B106-C106)/(2*SQRT(3)))</f>
        <v>0.115470053837925</v>
      </c>
      <c r="G106" s="9" t="n">
        <f aca="false">(A106-Parametri!$A$11)+Parametri!$A$2+(Parametri!$A$5/2)</f>
        <v>320</v>
      </c>
      <c r="H106" s="10" t="n">
        <f aca="false">(E106-Parametri!$A$8)-(Dati!A106-Parametri!$A$11)+Parametri!$A$2</f>
        <v>-320</v>
      </c>
      <c r="I106" s="10" t="n">
        <f aca="false">F106</f>
        <v>0.115470053837925</v>
      </c>
      <c r="J106" s="10" t="n">
        <f aca="false">Parametri!$D$8</f>
        <v>0.115470053837925</v>
      </c>
    </row>
    <row r="107" customFormat="false" ht="17.25" hidden="false" customHeight="true" outlineLevel="0" collapsed="false">
      <c r="A107" s="8" t="n">
        <f aca="false">A106+20</f>
        <v>340</v>
      </c>
      <c r="D107" s="9" t="n">
        <f aca="false">B107+2*E107</f>
        <v>0</v>
      </c>
      <c r="E107" s="9" t="n">
        <f aca="false">IF(C107=0, B107, mean(B107:C107))</f>
        <v>0</v>
      </c>
      <c r="F107" s="10" t="n">
        <f aca="false">IF(C107=0, Parametri!$D$8, ABS(B107-C107)/(2*SQRT(3)))</f>
        <v>0.115470053837925</v>
      </c>
      <c r="G107" s="9" t="n">
        <f aca="false">(A107-Parametri!$A$11)+Parametri!$A$2+(Parametri!$A$5/2)</f>
        <v>340</v>
      </c>
      <c r="H107" s="10" t="n">
        <f aca="false">(E107-Parametri!$A$8)-(Dati!A107-Parametri!$A$11)+Parametri!$A$2</f>
        <v>-340</v>
      </c>
      <c r="I107" s="10" t="n">
        <f aca="false">F107</f>
        <v>0.115470053837925</v>
      </c>
      <c r="J107" s="10" t="n">
        <f aca="false">Parametri!$D$8</f>
        <v>0.115470053837925</v>
      </c>
    </row>
    <row r="108" customFormat="false" ht="17.25" hidden="false" customHeight="true" outlineLevel="0" collapsed="false">
      <c r="A108" s="8" t="n">
        <f aca="false">A107+20</f>
        <v>360</v>
      </c>
      <c r="D108" s="9" t="n">
        <f aca="false">B108+2*E108</f>
        <v>0</v>
      </c>
      <c r="E108" s="9" t="n">
        <f aca="false">IF(C108=0, B108, mean(B108:C108))</f>
        <v>0</v>
      </c>
      <c r="F108" s="10" t="n">
        <f aca="false">IF(C108=0, Parametri!$D$8, ABS(B108-C108)/(2*SQRT(3)))</f>
        <v>0.115470053837925</v>
      </c>
      <c r="G108" s="9" t="n">
        <f aca="false">(A108-Parametri!$A$11)+Parametri!$A$2+(Parametri!$A$5/2)</f>
        <v>360</v>
      </c>
      <c r="H108" s="10" t="n">
        <f aca="false">(E108-Parametri!$A$8)-(Dati!A108-Parametri!$A$11)+Parametri!$A$2</f>
        <v>-360</v>
      </c>
      <c r="I108" s="10" t="n">
        <f aca="false">F108</f>
        <v>0.115470053837925</v>
      </c>
      <c r="J108" s="10" t="n">
        <f aca="false">Parametri!$D$8</f>
        <v>0.115470053837925</v>
      </c>
    </row>
    <row r="109" customFormat="false" ht="17.25" hidden="false" customHeight="true" outlineLevel="0" collapsed="false">
      <c r="A109" s="8" t="n">
        <f aca="false">A108+20</f>
        <v>380</v>
      </c>
      <c r="D109" s="9" t="n">
        <f aca="false">B109+2*E109</f>
        <v>0</v>
      </c>
      <c r="E109" s="9" t="n">
        <f aca="false">IF(C109=0, B109, mean(B109:C109))</f>
        <v>0</v>
      </c>
      <c r="F109" s="10" t="n">
        <f aca="false">IF(C109=0, Parametri!$D$8, ABS(B109-C109)/(2*SQRT(3)))</f>
        <v>0.115470053837925</v>
      </c>
      <c r="G109" s="9" t="n">
        <f aca="false">(A109-Parametri!$A$11)+Parametri!$A$2+(Parametri!$A$5/2)</f>
        <v>380</v>
      </c>
      <c r="H109" s="10" t="n">
        <f aca="false">(E109-Parametri!$A$8)-(Dati!A109-Parametri!$A$11)+Parametri!$A$2</f>
        <v>-380</v>
      </c>
      <c r="I109" s="10" t="n">
        <f aca="false">F109</f>
        <v>0.115470053837925</v>
      </c>
      <c r="J109" s="10" t="n">
        <f aca="false">Parametri!$D$8</f>
        <v>0.115470053837925</v>
      </c>
    </row>
    <row r="110" customFormat="false" ht="17.25" hidden="false" customHeight="true" outlineLevel="0" collapsed="false">
      <c r="A110" s="8" t="n">
        <f aca="false">A109+20</f>
        <v>400</v>
      </c>
      <c r="D110" s="9" t="n">
        <f aca="false">B110+2*E110</f>
        <v>0</v>
      </c>
      <c r="E110" s="9" t="n">
        <f aca="false">IF(C110=0, B110, mean(B110:C110))</f>
        <v>0</v>
      </c>
      <c r="F110" s="10" t="n">
        <f aca="false">IF(C110=0, Parametri!$D$8, ABS(B110-C110)/(2*SQRT(3)))</f>
        <v>0.115470053837925</v>
      </c>
      <c r="G110" s="9" t="n">
        <f aca="false">(A110-Parametri!$A$11)+Parametri!$A$2+(Parametri!$A$5/2)</f>
        <v>400</v>
      </c>
      <c r="H110" s="10" t="n">
        <f aca="false">(E110-Parametri!$A$8)-(Dati!A110-Parametri!$A$11)+Parametri!$A$2</f>
        <v>-400</v>
      </c>
      <c r="I110" s="10" t="n">
        <f aca="false">F110</f>
        <v>0.115470053837925</v>
      </c>
      <c r="J110" s="10" t="n">
        <f aca="false">Parametri!$D$8</f>
        <v>0.115470053837925</v>
      </c>
    </row>
    <row r="111" customFormat="false" ht="17.25" hidden="false" customHeight="true" outlineLevel="0" collapsed="false">
      <c r="A111" s="8" t="n">
        <f aca="false">A110+20</f>
        <v>420</v>
      </c>
      <c r="D111" s="9" t="n">
        <f aca="false">B111+2*E111</f>
        <v>0</v>
      </c>
      <c r="E111" s="9" t="n">
        <f aca="false">IF(C111=0, B111, mean(B111:C111))</f>
        <v>0</v>
      </c>
      <c r="F111" s="10" t="n">
        <f aca="false">IF(C111=0, Parametri!$D$8, ABS(B111-C111)/(2*SQRT(3)))</f>
        <v>0.115470053837925</v>
      </c>
      <c r="G111" s="9" t="n">
        <f aca="false">(A111-Parametri!$A$11)+Parametri!$A$2+(Parametri!$A$5/2)</f>
        <v>420</v>
      </c>
      <c r="H111" s="10" t="n">
        <f aca="false">(E111-Parametri!$A$8)-(Dati!A111-Parametri!$A$11)+Parametri!$A$2</f>
        <v>-420</v>
      </c>
      <c r="I111" s="10" t="n">
        <f aca="false">F111</f>
        <v>0.115470053837925</v>
      </c>
      <c r="J111" s="10" t="n">
        <f aca="false">Parametri!$D$8</f>
        <v>0.115470053837925</v>
      </c>
    </row>
    <row r="112" customFormat="false" ht="17.25" hidden="false" customHeight="true" outlineLevel="0" collapsed="false">
      <c r="A112" s="8" t="n">
        <f aca="false">A111+20</f>
        <v>440</v>
      </c>
      <c r="D112" s="9" t="n">
        <f aca="false">B112+2*E112</f>
        <v>0</v>
      </c>
      <c r="E112" s="9" t="n">
        <f aca="false">IF(C112=0, B112, mean(B112:C112))</f>
        <v>0</v>
      </c>
      <c r="F112" s="10" t="n">
        <f aca="false">IF(C112=0, Parametri!$D$8, ABS(B112-C112)/(2*SQRT(3)))</f>
        <v>0.115470053837925</v>
      </c>
      <c r="G112" s="9" t="n">
        <f aca="false">(A112-Parametri!$A$11)+Parametri!$A$2+(Parametri!$A$5/2)</f>
        <v>440</v>
      </c>
      <c r="H112" s="10" t="n">
        <f aca="false">(E112-Parametri!$A$8)-(Dati!A112-Parametri!$A$11)+Parametri!$A$2</f>
        <v>-440</v>
      </c>
      <c r="I112" s="10" t="n">
        <f aca="false">F112</f>
        <v>0.115470053837925</v>
      </c>
      <c r="J112" s="10" t="n">
        <f aca="false">Parametri!$D$8</f>
        <v>0.115470053837925</v>
      </c>
    </row>
    <row r="113" customFormat="false" ht="17.25" hidden="false" customHeight="true" outlineLevel="0" collapsed="false">
      <c r="A113" s="8" t="n">
        <f aca="false">A112+20</f>
        <v>460</v>
      </c>
      <c r="D113" s="9" t="n">
        <f aca="false">B113+2*E113</f>
        <v>0</v>
      </c>
      <c r="E113" s="9" t="n">
        <f aca="false">IF(C113=0, B113, mean(B113:C113))</f>
        <v>0</v>
      </c>
      <c r="F113" s="10" t="n">
        <f aca="false">IF(C113=0, Parametri!$D$8, ABS(B113-C113)/(2*SQRT(3)))</f>
        <v>0.115470053837925</v>
      </c>
      <c r="G113" s="9" t="n">
        <f aca="false">(A113-Parametri!$A$11)+Parametri!$A$2+(Parametri!$A$5/2)</f>
        <v>460</v>
      </c>
      <c r="H113" s="10" t="n">
        <f aca="false">(E113-Parametri!$A$8)-(Dati!A113-Parametri!$A$11)+Parametri!$A$2</f>
        <v>-460</v>
      </c>
      <c r="I113" s="10" t="n">
        <f aca="false">F113</f>
        <v>0.115470053837925</v>
      </c>
      <c r="J113" s="10" t="n">
        <f aca="false">Parametri!$D$8</f>
        <v>0.115470053837925</v>
      </c>
    </row>
    <row r="114" customFormat="false" ht="17.25" hidden="false" customHeight="true" outlineLevel="0" collapsed="false">
      <c r="A114" s="8" t="n">
        <f aca="false">A113+50</f>
        <v>510</v>
      </c>
      <c r="D114" s="9" t="n">
        <f aca="false">B114+2*E114</f>
        <v>0</v>
      </c>
      <c r="E114" s="9" t="n">
        <f aca="false">IF(C114=0, B114, mean(B114:C114))</f>
        <v>0</v>
      </c>
      <c r="F114" s="10" t="n">
        <f aca="false">IF(C114=0, Parametri!$D$8, ABS(B114-C114)/(2*SQRT(3)))</f>
        <v>0.115470053837925</v>
      </c>
      <c r="G114" s="9" t="n">
        <f aca="false">(A114-Parametri!$A$11)+Parametri!$A$2+(Parametri!$A$5/2)</f>
        <v>510</v>
      </c>
      <c r="H114" s="10" t="n">
        <f aca="false">(E114-Parametri!$A$8)-(Dati!A114-Parametri!$A$11)+Parametri!$A$2</f>
        <v>-510</v>
      </c>
      <c r="I114" s="10" t="n">
        <f aca="false">F114</f>
        <v>0.115470053837925</v>
      </c>
      <c r="J114" s="10" t="n">
        <f aca="false">Parametri!$D$8</f>
        <v>0.115470053837925</v>
      </c>
    </row>
    <row r="115" customFormat="false" ht="17.25" hidden="false" customHeight="true" outlineLevel="0" collapsed="false">
      <c r="A115" s="8" t="n">
        <f aca="false">A114+50</f>
        <v>560</v>
      </c>
      <c r="D115" s="9" t="n">
        <f aca="false">B115+2*E115</f>
        <v>0</v>
      </c>
      <c r="E115" s="9" t="n">
        <f aca="false">IF(C115=0, B115, mean(B115:C115))</f>
        <v>0</v>
      </c>
      <c r="F115" s="10" t="n">
        <f aca="false">IF(C115=0, Parametri!$D$8, ABS(B115-C115)/(2*SQRT(3)))</f>
        <v>0.115470053837925</v>
      </c>
      <c r="G115" s="9" t="n">
        <f aca="false">(A115-Parametri!$A$11)+Parametri!$A$2+(Parametri!$A$5/2)</f>
        <v>560</v>
      </c>
      <c r="H115" s="10" t="n">
        <f aca="false">(E115-Parametri!$A$8)-(Dati!A115-Parametri!$A$11)+Parametri!$A$2</f>
        <v>-560</v>
      </c>
      <c r="I115" s="10" t="n">
        <f aca="false">F115</f>
        <v>0.115470053837925</v>
      </c>
      <c r="J115" s="10" t="n">
        <f aca="false">Parametri!$D$8</f>
        <v>0.115470053837925</v>
      </c>
    </row>
    <row r="116" customFormat="false" ht="17.25" hidden="false" customHeight="true" outlineLevel="0" collapsed="false">
      <c r="A116" s="8" t="n">
        <f aca="false">A115+50</f>
        <v>610</v>
      </c>
      <c r="D116" s="9" t="n">
        <f aca="false">B116+2*E116</f>
        <v>0</v>
      </c>
      <c r="E116" s="9" t="n">
        <f aca="false">IF(C116=0, B116, mean(B116:C116))</f>
        <v>0</v>
      </c>
      <c r="F116" s="10" t="n">
        <f aca="false">IF(C116=0, Parametri!$D$8, ABS(B116-C116)/(2*SQRT(3)))</f>
        <v>0.115470053837925</v>
      </c>
      <c r="G116" s="9" t="n">
        <f aca="false">(A116-Parametri!$A$11)+Parametri!$A$2+(Parametri!$A$5/2)</f>
        <v>610</v>
      </c>
      <c r="H116" s="10" t="n">
        <f aca="false">(E116-Parametri!$A$8)-(Dati!A116-Parametri!$A$11)+Parametri!$A$2</f>
        <v>-610</v>
      </c>
      <c r="I116" s="10" t="n">
        <f aca="false">F116</f>
        <v>0.115470053837925</v>
      </c>
      <c r="J116" s="10" t="n">
        <f aca="false">Parametri!$D$8</f>
        <v>0.115470053837925</v>
      </c>
    </row>
    <row r="117" customFormat="false" ht="17.25" hidden="false" customHeight="true" outlineLevel="0" collapsed="false">
      <c r="A117" s="8" t="n">
        <f aca="false">A116+50</f>
        <v>660</v>
      </c>
      <c r="D117" s="9" t="n">
        <f aca="false">B117+2*E117</f>
        <v>0</v>
      </c>
      <c r="E117" s="9" t="n">
        <f aca="false">IF(C117=0, B117, mean(B117:C117))</f>
        <v>0</v>
      </c>
      <c r="F117" s="10" t="n">
        <f aca="false">IF(C117=0, Parametri!$D$8, ABS(B117-C117)/(2*SQRT(3)))</f>
        <v>0.115470053837925</v>
      </c>
      <c r="G117" s="9" t="n">
        <f aca="false">(A117-Parametri!$A$11)+Parametri!$A$2+(Parametri!$A$5/2)</f>
        <v>660</v>
      </c>
      <c r="H117" s="10" t="n">
        <f aca="false">(E117-Parametri!$A$8)-(Dati!A117-Parametri!$A$11)+Parametri!$A$2</f>
        <v>-660</v>
      </c>
      <c r="I117" s="10" t="n">
        <f aca="false">F117</f>
        <v>0.115470053837925</v>
      </c>
      <c r="J117" s="10" t="n">
        <f aca="false">Parametri!$D$8</f>
        <v>0.115470053837925</v>
      </c>
    </row>
    <row r="118" customFormat="false" ht="17.25" hidden="false" customHeight="true" outlineLevel="0" collapsed="false">
      <c r="A118" s="8" t="n">
        <f aca="false">A117+50</f>
        <v>710</v>
      </c>
      <c r="D118" s="9" t="n">
        <f aca="false">B118+2*E118</f>
        <v>0</v>
      </c>
      <c r="E118" s="9" t="n">
        <f aca="false">IF(C118=0, B118, mean(B118:C118))</f>
        <v>0</v>
      </c>
      <c r="F118" s="10" t="n">
        <f aca="false">IF(C118=0, Parametri!$D$8, ABS(B118-C118)/(2*SQRT(3)))</f>
        <v>0.115470053837925</v>
      </c>
      <c r="G118" s="9" t="n">
        <f aca="false">(A118-Parametri!$A$11)+Parametri!$A$2+(Parametri!$A$5/2)</f>
        <v>710</v>
      </c>
      <c r="H118" s="10" t="n">
        <f aca="false">(E118-Parametri!$A$8)-(Dati!A118-Parametri!$A$11)+Parametri!$A$2</f>
        <v>-710</v>
      </c>
      <c r="I118" s="10" t="n">
        <f aca="false">F118</f>
        <v>0.115470053837925</v>
      </c>
      <c r="J118" s="10" t="n">
        <f aca="false">Parametri!$D$8</f>
        <v>0.115470053837925</v>
      </c>
    </row>
    <row r="119" customFormat="false" ht="17.25" hidden="false" customHeight="true" outlineLevel="0" collapsed="false">
      <c r="A119" s="8" t="n">
        <f aca="false">A118+50</f>
        <v>760</v>
      </c>
      <c r="D119" s="9" t="n">
        <f aca="false">B119+2*E119</f>
        <v>0</v>
      </c>
      <c r="E119" s="9" t="n">
        <f aca="false">IF(C119=0, B119, mean(B119:C119))</f>
        <v>0</v>
      </c>
      <c r="F119" s="10" t="n">
        <f aca="false">IF(C119=0, Parametri!$D$8, ABS(B119-C119)/(2*SQRT(3)))</f>
        <v>0.115470053837925</v>
      </c>
      <c r="G119" s="9" t="n">
        <f aca="false">(A119-Parametri!$A$11)+Parametri!$A$2+(Parametri!$A$5/2)</f>
        <v>760</v>
      </c>
      <c r="H119" s="10" t="n">
        <f aca="false">(E119-Parametri!$A$8)-(Dati!A119-Parametri!$A$11)+Parametri!$A$2</f>
        <v>-760</v>
      </c>
      <c r="I119" s="10" t="n">
        <f aca="false">F119</f>
        <v>0.115470053837925</v>
      </c>
      <c r="J119" s="10" t="n">
        <f aca="false">Parametri!$D$8</f>
        <v>0.115470053837925</v>
      </c>
    </row>
    <row r="120" customFormat="false" ht="17.25" hidden="false" customHeight="true" outlineLevel="0" collapsed="false">
      <c r="A120" s="8" t="n">
        <f aca="false">A119+100</f>
        <v>860</v>
      </c>
      <c r="D120" s="9" t="n">
        <f aca="false">B120+2*E120</f>
        <v>0</v>
      </c>
      <c r="E120" s="9" t="n">
        <f aca="false">IF(C120=0, B120, mean(B120:C120))</f>
        <v>0</v>
      </c>
      <c r="F120" s="10" t="n">
        <f aca="false">IF(C120=0, Parametri!$D$8, ABS(B120-C120)/(2*SQRT(3)))</f>
        <v>0.115470053837925</v>
      </c>
      <c r="G120" s="9" t="n">
        <f aca="false">(A120-Parametri!$A$11)+Parametri!$A$2+(Parametri!$A$5/2)</f>
        <v>860</v>
      </c>
      <c r="H120" s="10" t="n">
        <f aca="false">(E120-Parametri!$A$8)-(Dati!A120-Parametri!$A$11)+Parametri!$A$2</f>
        <v>-860</v>
      </c>
      <c r="I120" s="10" t="n">
        <f aca="false">F120</f>
        <v>0.115470053837925</v>
      </c>
      <c r="J120" s="10" t="n">
        <f aca="false">Parametri!$D$8</f>
        <v>0.115470053837925</v>
      </c>
    </row>
    <row r="121" customFormat="false" ht="17.25" hidden="false" customHeight="true" outlineLevel="0" collapsed="false">
      <c r="A121" s="8" t="n">
        <f aca="false">A120+100</f>
        <v>960</v>
      </c>
      <c r="D121" s="9" t="n">
        <f aca="false">B121+2*E121</f>
        <v>0</v>
      </c>
      <c r="E121" s="9" t="n">
        <f aca="false">IF(C121=0, B121, mean(B121:C121))</f>
        <v>0</v>
      </c>
      <c r="F121" s="10" t="n">
        <f aca="false">IF(C121=0, Parametri!$D$8, ABS(B121-C121)/(2*SQRT(3)))</f>
        <v>0.115470053837925</v>
      </c>
      <c r="G121" s="9" t="n">
        <f aca="false">(A121-Parametri!$A$11)+Parametri!$A$2+(Parametri!$A$5/2)</f>
        <v>960</v>
      </c>
      <c r="H121" s="10" t="n">
        <f aca="false">(E121-Parametri!$A$8)-(Dati!A121-Parametri!$A$11)+Parametri!$A$2</f>
        <v>-960</v>
      </c>
      <c r="I121" s="10" t="n">
        <f aca="false">F121</f>
        <v>0.115470053837925</v>
      </c>
      <c r="J121" s="10" t="n">
        <f aca="false">Parametri!$D$8</f>
        <v>0.115470053837925</v>
      </c>
    </row>
    <row r="122" customFormat="false" ht="17.25" hidden="false" customHeight="true" outlineLevel="0" collapsed="false">
      <c r="A122" s="8" t="n">
        <f aca="false">A121+100</f>
        <v>1060</v>
      </c>
      <c r="D122" s="9" t="n">
        <f aca="false">B122+2*E122</f>
        <v>0</v>
      </c>
      <c r="E122" s="9" t="n">
        <f aca="false">IF(C122=0, B122, mean(B122:C122))</f>
        <v>0</v>
      </c>
      <c r="F122" s="10" t="n">
        <f aca="false">IF(C122=0, Parametri!$D$8, ABS(B122-C122)/(2*SQRT(3)))</f>
        <v>0.115470053837925</v>
      </c>
      <c r="G122" s="9" t="n">
        <f aca="false">(A122-Parametri!$A$11)+Parametri!$A$2+(Parametri!$A$5/2)</f>
        <v>1060</v>
      </c>
      <c r="H122" s="10" t="n">
        <f aca="false">(E122-Parametri!$A$8)-(Dati!A122-Parametri!$A$11)+Parametri!$A$2</f>
        <v>-1060</v>
      </c>
      <c r="I122" s="10" t="n">
        <f aca="false">F122</f>
        <v>0.115470053837925</v>
      </c>
      <c r="J122" s="10" t="n">
        <f aca="false">Parametri!$D$8</f>
        <v>0.115470053837925</v>
      </c>
    </row>
    <row r="123" customFormat="false" ht="17.25" hidden="false" customHeight="true" outlineLevel="0" collapsed="false">
      <c r="A123" s="8" t="n">
        <f aca="false">A122+100</f>
        <v>1160</v>
      </c>
      <c r="D123" s="9" t="n">
        <f aca="false">B123+2*E123</f>
        <v>0</v>
      </c>
      <c r="E123" s="9" t="n">
        <f aca="false">IF(C123=0, B123, mean(B123:C123))</f>
        <v>0</v>
      </c>
      <c r="F123" s="10" t="n">
        <f aca="false">IF(C123=0, Parametri!$D$8, ABS(B123-C123)/(2*SQRT(3)))</f>
        <v>0.115470053837925</v>
      </c>
      <c r="G123" s="9" t="n">
        <f aca="false">(A123-Parametri!$A$11)+Parametri!$A$2+(Parametri!$A$5/2)</f>
        <v>1160</v>
      </c>
      <c r="H123" s="10" t="n">
        <f aca="false">(E123-Parametri!$A$8)-(Dati!A123-Parametri!$A$11)+Parametri!$A$2</f>
        <v>-1160</v>
      </c>
      <c r="I123" s="10" t="n">
        <f aca="false">F123</f>
        <v>0.115470053837925</v>
      </c>
      <c r="J123" s="10" t="n">
        <f aca="false">Parametri!$D$8</f>
        <v>0.115470053837925</v>
      </c>
    </row>
    <row r="124" customFormat="false" ht="17.25" hidden="false" customHeight="true" outlineLevel="0" collapsed="false">
      <c r="A124" s="8" t="n">
        <f aca="false">A123+100</f>
        <v>1260</v>
      </c>
      <c r="D124" s="9" t="n">
        <f aca="false">B124+2*E124</f>
        <v>0</v>
      </c>
      <c r="E124" s="9" t="n">
        <f aca="false">IF(C124=0, B124, mean(B124:C124))</f>
        <v>0</v>
      </c>
      <c r="F124" s="10" t="n">
        <f aca="false">IF(C124=0, Parametri!$D$8, ABS(B124-C124)/(2*SQRT(3)))</f>
        <v>0.115470053837925</v>
      </c>
      <c r="G124" s="9" t="n">
        <f aca="false">(A124-Parametri!$A$11)+Parametri!$A$2+(Parametri!$A$5/2)</f>
        <v>1260</v>
      </c>
      <c r="H124" s="10" t="n">
        <f aca="false">(E124-Parametri!$A$8)-(Dati!A124-Parametri!$A$11)+Parametri!$A$2</f>
        <v>-1260</v>
      </c>
      <c r="I124" s="10" t="n">
        <f aca="false">F124</f>
        <v>0.115470053837925</v>
      </c>
      <c r="J124" s="10" t="n">
        <f aca="false">Parametri!$D$8</f>
        <v>0.115470053837925</v>
      </c>
    </row>
    <row r="125" customFormat="false" ht="17.25" hidden="false" customHeight="true" outlineLevel="0" collapsed="false">
      <c r="A125" s="8" t="n">
        <f aca="false">A124+100</f>
        <v>1360</v>
      </c>
      <c r="D125" s="9" t="n">
        <f aca="false">B125+2*E125</f>
        <v>0</v>
      </c>
      <c r="E125" s="9" t="n">
        <f aca="false">IF(C125=0, B125, mean(B125:C125))</f>
        <v>0</v>
      </c>
      <c r="F125" s="10" t="n">
        <f aca="false">IF(C125=0, Parametri!$D$8, ABS(B125-C125)/(2*SQRT(3)))</f>
        <v>0.115470053837925</v>
      </c>
      <c r="G125" s="9" t="n">
        <f aca="false">(A125-Parametri!$A$11)+Parametri!$A$2+(Parametri!$A$5/2)</f>
        <v>1360</v>
      </c>
      <c r="H125" s="10" t="n">
        <f aca="false">(E125-Parametri!$A$8)-(Dati!A125-Parametri!$A$11)+Parametri!$A$2</f>
        <v>-1360</v>
      </c>
      <c r="I125" s="10" t="n">
        <f aca="false">F125</f>
        <v>0.115470053837925</v>
      </c>
      <c r="J125" s="10" t="n">
        <f aca="false">Parametri!$D$8</f>
        <v>0.115470053837925</v>
      </c>
    </row>
    <row r="126" customFormat="false" ht="17.25" hidden="false" customHeight="true" outlineLevel="0" collapsed="false">
      <c r="D126" s="9" t="n">
        <f aca="false">B126+2*E126</f>
        <v>0</v>
      </c>
      <c r="E126" s="9" t="n">
        <f aca="false">IF(C126=0, B126, mean(B126:C126))</f>
        <v>0</v>
      </c>
      <c r="F126" s="10" t="n">
        <f aca="false">IF(C126=0, Parametri!$D$8, ABS(B126-C126)/(2*SQRT(3)))</f>
        <v>0.115470053837925</v>
      </c>
      <c r="G126" s="9" t="n">
        <f aca="false">(A126-Parametri!$A$11)+Parametri!$A$2+(Parametri!$A$5/2)</f>
        <v>0</v>
      </c>
      <c r="H126" s="10" t="n">
        <f aca="false">(E126-Parametri!$A$8)-(Dati!A126-Parametri!$A$11)+Parametri!$A$2</f>
        <v>0</v>
      </c>
      <c r="I126" s="10" t="n">
        <f aca="false">F126</f>
        <v>0.115470053837925</v>
      </c>
      <c r="J126" s="10" t="n">
        <f aca="false">Parametri!$D$8</f>
        <v>0.115470053837925</v>
      </c>
    </row>
    <row r="127" customFormat="false" ht="17.25" hidden="false" customHeight="true" outlineLevel="0" collapsed="false">
      <c r="D127" s="9" t="n">
        <f aca="false">B127+2*E127</f>
        <v>0</v>
      </c>
      <c r="E127" s="9" t="n">
        <f aca="false">IF(C127=0, B127, mean(B127:C127))</f>
        <v>0</v>
      </c>
      <c r="F127" s="10" t="n">
        <f aca="false">IF(C127=0, Parametri!$D$8, ABS(B127-C127)/(2*SQRT(3)))</f>
        <v>0.115470053837925</v>
      </c>
      <c r="G127" s="9" t="n">
        <f aca="false">(A127-Parametri!$A$11)+Parametri!$A$2+(Parametri!$A$5/2)</f>
        <v>0</v>
      </c>
      <c r="H127" s="10" t="n">
        <f aca="false">(E127-Parametri!$A$8)-(Dati!A127-Parametri!$A$11)+Parametri!$A$2</f>
        <v>0</v>
      </c>
      <c r="I127" s="10" t="n">
        <f aca="false">F127</f>
        <v>0.115470053837925</v>
      </c>
      <c r="J127" s="10" t="n">
        <f aca="false">Parametri!$D$8</f>
        <v>0.115470053837925</v>
      </c>
    </row>
    <row r="128" customFormat="false" ht="17.25" hidden="false" customHeight="true" outlineLevel="0" collapsed="false">
      <c r="D128" s="9" t="n">
        <f aca="false">B128+2*E128</f>
        <v>0</v>
      </c>
      <c r="E128" s="9" t="n">
        <f aca="false">IF(C128=0, B128, mean(B128:C128))</f>
        <v>0</v>
      </c>
      <c r="F128" s="10" t="n">
        <f aca="false">IF(C128=0, Parametri!$D$8, ABS(B128-C128)/(2*SQRT(3)))</f>
        <v>0.115470053837925</v>
      </c>
      <c r="G128" s="9" t="n">
        <f aca="false">(A128-Parametri!$A$11)+Parametri!$A$2+(Parametri!$A$5/2)</f>
        <v>0</v>
      </c>
      <c r="H128" s="10" t="n">
        <f aca="false">(E128-Parametri!$A$8)-(Dati!A128-Parametri!$A$11)+Parametri!$A$2</f>
        <v>0</v>
      </c>
      <c r="I128" s="10" t="n">
        <f aca="false">F128</f>
        <v>0.115470053837925</v>
      </c>
      <c r="J128" s="10" t="n">
        <f aca="false">Parametri!$D$8</f>
        <v>0.115470053837925</v>
      </c>
    </row>
    <row r="129" customFormat="false" ht="17.25" hidden="false" customHeight="true" outlineLevel="0" collapsed="false">
      <c r="D129" s="9" t="n">
        <f aca="false">B129+2*E129</f>
        <v>0</v>
      </c>
      <c r="E129" s="9" t="n">
        <f aca="false">IF(C129=0, B129, mean(B129:C129))</f>
        <v>0</v>
      </c>
      <c r="F129" s="10" t="n">
        <f aca="false">IF(C129=0, Parametri!$D$8, ABS(B129-C129)/(2*SQRT(3)))</f>
        <v>0.115470053837925</v>
      </c>
      <c r="G129" s="9" t="n">
        <f aca="false">(A129-Parametri!$A$11)+Parametri!$A$2+(Parametri!$A$5/2)</f>
        <v>0</v>
      </c>
      <c r="H129" s="10" t="n">
        <f aca="false">(E129-Parametri!$A$8)-(Dati!A129-Parametri!$A$11)+Parametri!$A$2</f>
        <v>0</v>
      </c>
      <c r="I129" s="10" t="n">
        <f aca="false">F129</f>
        <v>0.115470053837925</v>
      </c>
      <c r="J129" s="10" t="n">
        <f aca="false">Parametri!$D$8</f>
        <v>0.115470053837925</v>
      </c>
    </row>
    <row r="130" customFormat="false" ht="17.25" hidden="false" customHeight="true" outlineLevel="0" collapsed="false">
      <c r="A130" s="9" t="n">
        <v>1675</v>
      </c>
      <c r="B130" s="9" t="n">
        <v>1902</v>
      </c>
      <c r="D130" s="9" t="n">
        <f aca="false">B130+2*E130</f>
        <v>5706</v>
      </c>
      <c r="E130" s="9" t="n">
        <f aca="false">IF(C130=0, B130, mean(B130:C130))</f>
        <v>1902</v>
      </c>
      <c r="F130" s="10" t="n">
        <f aca="false">IF(C130=0, Parametri!$D$8, ABS(B130-C130)/(2*SQRT(3)))</f>
        <v>0.115470053837925</v>
      </c>
      <c r="G130" s="9" t="n">
        <f aca="false">(A130-Parametri!$A$11)+Parametri!$A$2+(Parametri!$A$5/2)</f>
        <v>1675</v>
      </c>
      <c r="H130" s="10" t="n">
        <f aca="false">(E130-Parametri!$A$8)-(Dati!A130-Parametri!$A$11)+Parametri!$A$2</f>
        <v>227</v>
      </c>
      <c r="I130" s="10" t="n">
        <f aca="false">F130</f>
        <v>0.115470053837925</v>
      </c>
      <c r="J130" s="10" t="n">
        <f aca="false">Parametri!$D$8</f>
        <v>0.115470053837925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2026-10-16T08:20:35Z</dcterms:created>
  <dc:creator/>
  <dc:description/>
  <dc:language>en-US</dc:language>
  <cp:lastModifiedBy/>
  <dcterms:modified xsi:type="dcterms:W3CDTF">2026-10-16T08:20:35Z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