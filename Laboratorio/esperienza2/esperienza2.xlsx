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ricm\Desktop\Laboratorio-di-Ottica\Laboratorio\esperienza2\"/>
    </mc:Choice>
  </mc:AlternateContent>
  <xr:revisionPtr revIDLastSave="0" documentId="13_ncr:1_{5F3D6209-5825-4AE0-97F1-546326BF739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arametri" sheetId="1" r:id="rId1"/>
    <sheet name="Da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D30" i="2" a="1"/>
  <c r="D30" i="2" s="1"/>
  <c r="D31" i="2" a="1"/>
  <c r="D31" i="2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/>
  <c r="D47" i="2" a="1"/>
  <c r="D47" i="2" s="1"/>
  <c r="D48" i="2" a="1"/>
  <c r="D48" i="2" s="1"/>
  <c r="D49" i="2" a="1"/>
  <c r="D49" i="2" s="1"/>
  <c r="D50" i="2" a="1"/>
  <c r="D50" i="2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/>
  <c r="D57" i="2" a="1"/>
  <c r="D57" i="2" s="1"/>
  <c r="D58" i="2" a="1"/>
  <c r="D58" i="2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/>
  <c r="D80" i="2" a="1"/>
  <c r="D80" i="2" s="1"/>
  <c r="D81" i="2" a="1"/>
  <c r="D81" i="2" s="1"/>
  <c r="D82" i="2" a="1"/>
  <c r="D82" i="2"/>
  <c r="D83" i="2" a="1"/>
  <c r="D83" i="2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/>
  <c r="D93" i="2" a="1"/>
  <c r="D93" i="2" s="1"/>
  <c r="D94" i="2" a="1"/>
  <c r="D94" i="2"/>
  <c r="D95" i="2" a="1"/>
  <c r="D95" i="2" s="1"/>
  <c r="D96" i="2" a="1"/>
  <c r="D96" i="2" s="1"/>
  <c r="D97" i="2" a="1"/>
  <c r="D97" i="2"/>
  <c r="D98" i="2" a="1"/>
  <c r="D98" i="2" s="1"/>
  <c r="D99" i="2" a="1"/>
  <c r="D99" i="2" s="1"/>
  <c r="D100" i="2" a="1"/>
  <c r="D100" i="2" s="1"/>
  <c r="D101" i="2" a="1"/>
  <c r="D101" i="2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/>
  <c r="D119" i="2" a="1"/>
  <c r="D119" i="2" s="1"/>
  <c r="D120" i="2" a="1"/>
  <c r="D120" i="2" s="1"/>
  <c r="D121" i="2" a="1"/>
  <c r="D121" i="2"/>
  <c r="D122" i="2" a="1"/>
  <c r="D122" i="2"/>
  <c r="D123" i="2" a="1"/>
  <c r="D123" i="2" s="1"/>
  <c r="D124" i="2" a="1"/>
  <c r="D124" i="2" s="1"/>
  <c r="D125" i="2" a="1"/>
  <c r="D125" i="2"/>
  <c r="D126" i="2" a="1"/>
  <c r="D126" i="2" s="1"/>
  <c r="D127" i="2" a="1"/>
  <c r="D127" i="2" s="1"/>
  <c r="D128" i="2" a="1"/>
  <c r="D128" i="2" s="1"/>
  <c r="D129" i="2" a="1"/>
  <c r="D129" i="2" s="1"/>
  <c r="D130" i="2" a="1"/>
  <c r="D130" i="2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/>
  <c r="D11" i="2" a="1"/>
  <c r="D11" i="2"/>
  <c r="D12" i="2" a="1"/>
  <c r="D12" i="2" s="1"/>
  <c r="D13" i="2" a="1"/>
  <c r="D13" i="2" s="1"/>
  <c r="D14" i="2" a="1"/>
  <c r="D14" i="2"/>
  <c r="D15" i="2" a="1"/>
  <c r="D15" i="2" s="1"/>
  <c r="D16" i="2" a="1"/>
  <c r="D16" i="2" s="1"/>
  <c r="D17" i="2" a="1"/>
  <c r="D17" i="2"/>
  <c r="D18" i="2" a="1"/>
  <c r="D18" i="2" s="1"/>
  <c r="D19" i="2" a="1"/>
  <c r="D19" i="2" s="1"/>
  <c r="D20" i="2" a="1"/>
  <c r="D20" i="2" s="1"/>
  <c r="D21" i="2" a="1"/>
  <c r="D21" i="2" s="1"/>
  <c r="D22" i="2" a="1"/>
  <c r="D22" i="2"/>
  <c r="D23" i="2" a="1"/>
  <c r="D23" i="2"/>
  <c r="D24" i="2" a="1"/>
  <c r="D24" i="2" s="1"/>
  <c r="D25" i="2" a="1"/>
  <c r="D25" i="2" s="1"/>
  <c r="D26" i="2" a="1"/>
  <c r="D26" i="2" s="1"/>
  <c r="D27" i="2" a="1"/>
  <c r="D27" i="2" s="1"/>
  <c r="D28" i="2" a="1"/>
  <c r="D28" i="2"/>
  <c r="D29" i="2" a="1"/>
  <c r="D29" i="2" s="1"/>
  <c r="D2" i="2" a="1"/>
  <c r="D2" i="2" s="1"/>
  <c r="F2" i="2"/>
  <c r="D11" i="1"/>
  <c r="D8" i="1"/>
  <c r="E91" i="2" s="1"/>
  <c r="H91" i="2" s="1"/>
  <c r="C11" i="1"/>
  <c r="C8" i="1"/>
  <c r="E97" i="2" l="1"/>
  <c r="H97" i="2" s="1"/>
  <c r="E61" i="2"/>
  <c r="H61" i="2" s="1"/>
  <c r="E127" i="2"/>
  <c r="H127" i="2" s="1"/>
  <c r="I3" i="2"/>
  <c r="I9" i="2"/>
  <c r="I15" i="2"/>
  <c r="I21" i="2"/>
  <c r="I27" i="2"/>
  <c r="I33" i="2"/>
  <c r="I39" i="2"/>
  <c r="I45" i="2"/>
  <c r="I51" i="2"/>
  <c r="I57" i="2"/>
  <c r="I63" i="2"/>
  <c r="I69" i="2"/>
  <c r="I75" i="2"/>
  <c r="I81" i="2"/>
  <c r="I87" i="2"/>
  <c r="I93" i="2"/>
  <c r="I99" i="2"/>
  <c r="I105" i="2"/>
  <c r="I111" i="2"/>
  <c r="I117" i="2"/>
  <c r="I123" i="2"/>
  <c r="I129" i="2"/>
  <c r="E8" i="2"/>
  <c r="H8" i="2" s="1"/>
  <c r="E14" i="2"/>
  <c r="H14" i="2" s="1"/>
  <c r="E20" i="2"/>
  <c r="H20" i="2" s="1"/>
  <c r="E26" i="2"/>
  <c r="H26" i="2" s="1"/>
  <c r="E32" i="2"/>
  <c r="H32" i="2" s="1"/>
  <c r="E38" i="2"/>
  <c r="H38" i="2" s="1"/>
  <c r="E44" i="2"/>
  <c r="H44" i="2" s="1"/>
  <c r="E50" i="2"/>
  <c r="H50" i="2" s="1"/>
  <c r="E56" i="2"/>
  <c r="H56" i="2" s="1"/>
  <c r="E62" i="2"/>
  <c r="H62" i="2" s="1"/>
  <c r="E68" i="2"/>
  <c r="H68" i="2" s="1"/>
  <c r="E74" i="2"/>
  <c r="H74" i="2" s="1"/>
  <c r="E80" i="2"/>
  <c r="H80" i="2" s="1"/>
  <c r="E86" i="2"/>
  <c r="H86" i="2" s="1"/>
  <c r="E92" i="2"/>
  <c r="H92" i="2" s="1"/>
  <c r="E98" i="2"/>
  <c r="H98" i="2" s="1"/>
  <c r="E104" i="2"/>
  <c r="H104" i="2" s="1"/>
  <c r="E110" i="2"/>
  <c r="H110" i="2" s="1"/>
  <c r="E116" i="2"/>
  <c r="H116" i="2" s="1"/>
  <c r="E122" i="2"/>
  <c r="H122" i="2" s="1"/>
  <c r="E128" i="2"/>
  <c r="H128" i="2" s="1"/>
  <c r="E2" i="2"/>
  <c r="H2" i="2" s="1"/>
  <c r="I4" i="2"/>
  <c r="I10" i="2"/>
  <c r="I16" i="2"/>
  <c r="I22" i="2"/>
  <c r="I28" i="2"/>
  <c r="I34" i="2"/>
  <c r="I40" i="2"/>
  <c r="I46" i="2"/>
  <c r="I52" i="2"/>
  <c r="I58" i="2"/>
  <c r="I64" i="2"/>
  <c r="I70" i="2"/>
  <c r="I76" i="2"/>
  <c r="I82" i="2"/>
  <c r="I88" i="2"/>
  <c r="I94" i="2"/>
  <c r="I100" i="2"/>
  <c r="I106" i="2"/>
  <c r="I112" i="2"/>
  <c r="I118" i="2"/>
  <c r="I124" i="2"/>
  <c r="I130" i="2"/>
  <c r="E3" i="2"/>
  <c r="H3" i="2" s="1"/>
  <c r="E9" i="2"/>
  <c r="H9" i="2" s="1"/>
  <c r="E15" i="2"/>
  <c r="H15" i="2" s="1"/>
  <c r="E21" i="2"/>
  <c r="H21" i="2" s="1"/>
  <c r="E27" i="2"/>
  <c r="H27" i="2" s="1"/>
  <c r="E33" i="2"/>
  <c r="H33" i="2" s="1"/>
  <c r="E39" i="2"/>
  <c r="H39" i="2" s="1"/>
  <c r="E45" i="2"/>
  <c r="H45" i="2" s="1"/>
  <c r="E51" i="2"/>
  <c r="H51" i="2" s="1"/>
  <c r="E57" i="2"/>
  <c r="H57" i="2" s="1"/>
  <c r="E63" i="2"/>
  <c r="H63" i="2" s="1"/>
  <c r="E69" i="2"/>
  <c r="H69" i="2" s="1"/>
  <c r="E75" i="2"/>
  <c r="H75" i="2" s="1"/>
  <c r="E81" i="2"/>
  <c r="H81" i="2" s="1"/>
  <c r="E87" i="2"/>
  <c r="H87" i="2" s="1"/>
  <c r="E93" i="2"/>
  <c r="H93" i="2" s="1"/>
  <c r="E99" i="2"/>
  <c r="H99" i="2" s="1"/>
  <c r="E105" i="2"/>
  <c r="H105" i="2" s="1"/>
  <c r="E111" i="2"/>
  <c r="H111" i="2" s="1"/>
  <c r="E117" i="2"/>
  <c r="H117" i="2" s="1"/>
  <c r="E123" i="2"/>
  <c r="H123" i="2" s="1"/>
  <c r="E129" i="2"/>
  <c r="H129" i="2" s="1"/>
  <c r="I5" i="2"/>
  <c r="I11" i="2"/>
  <c r="I17" i="2"/>
  <c r="I23" i="2"/>
  <c r="I29" i="2"/>
  <c r="I35" i="2"/>
  <c r="I41" i="2"/>
  <c r="I47" i="2"/>
  <c r="I53" i="2"/>
  <c r="I59" i="2"/>
  <c r="I65" i="2"/>
  <c r="I71" i="2"/>
  <c r="I77" i="2"/>
  <c r="I83" i="2"/>
  <c r="I89" i="2"/>
  <c r="I95" i="2"/>
  <c r="I101" i="2"/>
  <c r="I107" i="2"/>
  <c r="I113" i="2"/>
  <c r="I119" i="2"/>
  <c r="I125" i="2"/>
  <c r="E4" i="2"/>
  <c r="H4" i="2" s="1"/>
  <c r="E10" i="2"/>
  <c r="H10" i="2" s="1"/>
  <c r="E16" i="2"/>
  <c r="H16" i="2" s="1"/>
  <c r="E22" i="2"/>
  <c r="H22" i="2" s="1"/>
  <c r="E28" i="2"/>
  <c r="H28" i="2" s="1"/>
  <c r="E34" i="2"/>
  <c r="H34" i="2" s="1"/>
  <c r="E40" i="2"/>
  <c r="H40" i="2" s="1"/>
  <c r="E46" i="2"/>
  <c r="H46" i="2" s="1"/>
  <c r="E52" i="2"/>
  <c r="H52" i="2" s="1"/>
  <c r="E58" i="2"/>
  <c r="H58" i="2" s="1"/>
  <c r="E64" i="2"/>
  <c r="H64" i="2" s="1"/>
  <c r="E70" i="2"/>
  <c r="H70" i="2" s="1"/>
  <c r="E76" i="2"/>
  <c r="H76" i="2" s="1"/>
  <c r="E82" i="2"/>
  <c r="H82" i="2" s="1"/>
  <c r="E88" i="2"/>
  <c r="H88" i="2" s="1"/>
  <c r="E94" i="2"/>
  <c r="H94" i="2" s="1"/>
  <c r="E100" i="2"/>
  <c r="H100" i="2" s="1"/>
  <c r="E106" i="2"/>
  <c r="H106" i="2" s="1"/>
  <c r="E112" i="2"/>
  <c r="H112" i="2" s="1"/>
  <c r="E118" i="2"/>
  <c r="H118" i="2" s="1"/>
  <c r="E124" i="2"/>
  <c r="H124" i="2" s="1"/>
  <c r="E130" i="2"/>
  <c r="H130" i="2" s="1"/>
  <c r="I2" i="2"/>
  <c r="E6" i="2"/>
  <c r="H6" i="2" s="1"/>
  <c r="E18" i="2"/>
  <c r="H18" i="2" s="1"/>
  <c r="E30" i="2"/>
  <c r="H30" i="2" s="1"/>
  <c r="E42" i="2"/>
  <c r="H42" i="2" s="1"/>
  <c r="E54" i="2"/>
  <c r="H54" i="2" s="1"/>
  <c r="E66" i="2"/>
  <c r="H66" i="2" s="1"/>
  <c r="E78" i="2"/>
  <c r="H78" i="2" s="1"/>
  <c r="E90" i="2"/>
  <c r="H90" i="2" s="1"/>
  <c r="E102" i="2"/>
  <c r="H102" i="2" s="1"/>
  <c r="E114" i="2"/>
  <c r="H114" i="2" s="1"/>
  <c r="E126" i="2"/>
  <c r="H126" i="2" s="1"/>
  <c r="I8" i="2"/>
  <c r="I14" i="2"/>
  <c r="I20" i="2"/>
  <c r="I26" i="2"/>
  <c r="I32" i="2"/>
  <c r="I38" i="2"/>
  <c r="I44" i="2"/>
  <c r="I50" i="2"/>
  <c r="I56" i="2"/>
  <c r="I62" i="2"/>
  <c r="I68" i="2"/>
  <c r="I74" i="2"/>
  <c r="I80" i="2"/>
  <c r="I86" i="2"/>
  <c r="I92" i="2"/>
  <c r="I98" i="2"/>
  <c r="I104" i="2"/>
  <c r="I110" i="2"/>
  <c r="I116" i="2"/>
  <c r="I122" i="2"/>
  <c r="I128" i="2"/>
  <c r="E7" i="2"/>
  <c r="H7" i="2" s="1"/>
  <c r="E13" i="2"/>
  <c r="H13" i="2" s="1"/>
  <c r="E19" i="2"/>
  <c r="H19" i="2" s="1"/>
  <c r="E25" i="2"/>
  <c r="H25" i="2" s="1"/>
  <c r="E31" i="2"/>
  <c r="H31" i="2" s="1"/>
  <c r="E37" i="2"/>
  <c r="H37" i="2" s="1"/>
  <c r="E43" i="2"/>
  <c r="H43" i="2" s="1"/>
  <c r="E49" i="2"/>
  <c r="H49" i="2" s="1"/>
  <c r="E55" i="2"/>
  <c r="H55" i="2" s="1"/>
  <c r="I6" i="2"/>
  <c r="I12" i="2"/>
  <c r="I18" i="2"/>
  <c r="I24" i="2"/>
  <c r="I30" i="2"/>
  <c r="I36" i="2"/>
  <c r="I42" i="2"/>
  <c r="I48" i="2"/>
  <c r="I54" i="2"/>
  <c r="I60" i="2"/>
  <c r="I66" i="2"/>
  <c r="I72" i="2"/>
  <c r="I78" i="2"/>
  <c r="I84" i="2"/>
  <c r="I90" i="2"/>
  <c r="I96" i="2"/>
  <c r="I102" i="2"/>
  <c r="I108" i="2"/>
  <c r="I114" i="2"/>
  <c r="I120" i="2"/>
  <c r="I126" i="2"/>
  <c r="E5" i="2"/>
  <c r="H5" i="2" s="1"/>
  <c r="E11" i="2"/>
  <c r="H11" i="2" s="1"/>
  <c r="E17" i="2"/>
  <c r="H17" i="2" s="1"/>
  <c r="E23" i="2"/>
  <c r="H23" i="2" s="1"/>
  <c r="E29" i="2"/>
  <c r="H29" i="2" s="1"/>
  <c r="E35" i="2"/>
  <c r="H35" i="2" s="1"/>
  <c r="E41" i="2"/>
  <c r="H41" i="2" s="1"/>
  <c r="E47" i="2"/>
  <c r="H47" i="2" s="1"/>
  <c r="E53" i="2"/>
  <c r="H53" i="2" s="1"/>
  <c r="E59" i="2"/>
  <c r="H59" i="2" s="1"/>
  <c r="E65" i="2"/>
  <c r="H65" i="2" s="1"/>
  <c r="E71" i="2"/>
  <c r="H71" i="2" s="1"/>
  <c r="E77" i="2"/>
  <c r="H77" i="2" s="1"/>
  <c r="E83" i="2"/>
  <c r="H83" i="2" s="1"/>
  <c r="E89" i="2"/>
  <c r="H89" i="2" s="1"/>
  <c r="E95" i="2"/>
  <c r="H95" i="2" s="1"/>
  <c r="E101" i="2"/>
  <c r="H101" i="2" s="1"/>
  <c r="E107" i="2"/>
  <c r="H107" i="2" s="1"/>
  <c r="E113" i="2"/>
  <c r="H113" i="2" s="1"/>
  <c r="E119" i="2"/>
  <c r="H119" i="2" s="1"/>
  <c r="E125" i="2"/>
  <c r="H125" i="2" s="1"/>
  <c r="I7" i="2"/>
  <c r="I13" i="2"/>
  <c r="I19" i="2"/>
  <c r="I25" i="2"/>
  <c r="I31" i="2"/>
  <c r="I37" i="2"/>
  <c r="I43" i="2"/>
  <c r="I49" i="2"/>
  <c r="I55" i="2"/>
  <c r="I61" i="2"/>
  <c r="I67" i="2"/>
  <c r="I73" i="2"/>
  <c r="I79" i="2"/>
  <c r="I85" i="2"/>
  <c r="I91" i="2"/>
  <c r="I97" i="2"/>
  <c r="I103" i="2"/>
  <c r="I109" i="2"/>
  <c r="I115" i="2"/>
  <c r="I121" i="2"/>
  <c r="I127" i="2"/>
  <c r="E12" i="2"/>
  <c r="H12" i="2" s="1"/>
  <c r="E24" i="2"/>
  <c r="H24" i="2" s="1"/>
  <c r="E36" i="2"/>
  <c r="H36" i="2" s="1"/>
  <c r="E48" i="2"/>
  <c r="H48" i="2" s="1"/>
  <c r="E60" i="2"/>
  <c r="H60" i="2" s="1"/>
  <c r="E72" i="2"/>
  <c r="H72" i="2" s="1"/>
  <c r="E84" i="2"/>
  <c r="H84" i="2" s="1"/>
  <c r="E96" i="2"/>
  <c r="H96" i="2" s="1"/>
  <c r="E108" i="2"/>
  <c r="H108" i="2" s="1"/>
  <c r="E120" i="2"/>
  <c r="H120" i="2" s="1"/>
  <c r="E121" i="2"/>
  <c r="H121" i="2" s="1"/>
  <c r="E85" i="2"/>
  <c r="H85" i="2" s="1"/>
  <c r="E115" i="2"/>
  <c r="H115" i="2" s="1"/>
  <c r="E79" i="2"/>
  <c r="H79" i="2" s="1"/>
  <c r="E109" i="2"/>
  <c r="H109" i="2" s="1"/>
  <c r="E73" i="2"/>
  <c r="H73" i="2" s="1"/>
  <c r="E103" i="2"/>
  <c r="H103" i="2" s="1"/>
  <c r="E67" i="2"/>
  <c r="H6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<sst xmlns="http://schemas.openxmlformats.org/spreadsheetml/2006/main" count="23" uniqueCount="22">
  <si>
    <t xml:space="preserve"> L</t>
  </si>
  <si>
    <t>err_L</t>
  </si>
  <si>
    <t>sigma_L</t>
  </si>
  <si>
    <t>D</t>
  </si>
  <si>
    <t>err_D</t>
  </si>
  <si>
    <t>sigma_D</t>
  </si>
  <si>
    <t>y_0</t>
  </si>
  <si>
    <t>x_0</t>
  </si>
  <si>
    <t>err_y0</t>
  </si>
  <si>
    <t>err_x0</t>
  </si>
  <si>
    <t>sigma_y0</t>
  </si>
  <si>
    <t>sigma_x0</t>
  </si>
  <si>
    <t>x</t>
  </si>
  <si>
    <t>sigma_x</t>
  </si>
  <si>
    <t>sigma_y</t>
  </si>
  <si>
    <t>y</t>
  </si>
  <si>
    <t>p</t>
  </si>
  <si>
    <t>q</t>
  </si>
  <si>
    <t>sigma_p</t>
  </si>
  <si>
    <t>sigma_q</t>
  </si>
  <si>
    <t>y_max</t>
  </si>
  <si>
    <t>y_min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</si>
</sst>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Dati!$F$2:$F$350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xVal>
          <c:yVal>
            <c:numRef>
              <c:f>Dati!$G$2:$G$350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E-4E2B-933D-C7190CDE3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042160"/>
        <c:axId val="360052048"/>
      </c:scatterChart>
      <c:valAx>
        <c:axId val="5490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052048"/>
        <c:crosses val="autoZero"/>
        <c:crossBetween val="midCat"/>
      </c:valAx>
      <c:valAx>
        <c:axId val="3600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904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2</xdr:row>
      <xdr:rowOff>148590</xdr:rowOff>
    </xdr:from>
    <xdr:to>
      <xdr:col>16</xdr:col>
      <xdr:colOff>426720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96DBB-AC44-6B40-50CB-C2C79B2AA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1" sqref="F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1"/>
      <c r="B2" s="1"/>
      <c r="C2" s="1"/>
    </row>
    <row r="4" spans="1:4" x14ac:dyDescent="0.3">
      <c r="A4" s="1" t="s">
        <v>3</v>
      </c>
      <c r="B4" s="1" t="s">
        <v>4</v>
      </c>
      <c r="C4" s="1" t="s">
        <v>5</v>
      </c>
    </row>
    <row r="5" spans="1:4" x14ac:dyDescent="0.3">
      <c r="A5" s="1"/>
      <c r="B5" s="1"/>
      <c r="C5" s="1"/>
    </row>
    <row r="7" spans="1:4" x14ac:dyDescent="0.3">
      <c r="A7" s="1" t="s">
        <v>6</v>
      </c>
      <c r="B7" s="1" t="s">
        <v>8</v>
      </c>
      <c r="C7" s="1" t="s">
        <v>10</v>
      </c>
      <c r="D7" s="1" t="s">
        <v>14</v>
      </c>
    </row>
    <row r="8" spans="1:4" x14ac:dyDescent="0.3">
      <c r="A8" s="1"/>
      <c r="B8" s="1">
        <v>0.2</v>
      </c>
      <c r="C8" s="1">
        <f>B8/SQRT(3)</f>
        <v>0.11547005383792516</v>
      </c>
      <c r="D8" s="1">
        <f>B8/SQRT(3)</f>
        <v>0.11547005383792516</v>
      </c>
    </row>
    <row r="10" spans="1:4" x14ac:dyDescent="0.3">
      <c r="A10" s="1" t="s">
        <v>7</v>
      </c>
      <c r="B10" s="1" t="s">
        <v>9</v>
      </c>
      <c r="C10" s="1" t="s">
        <v>11</v>
      </c>
      <c r="D10" s="1" t="s">
        <v>13</v>
      </c>
    </row>
    <row r="11" spans="1:4" x14ac:dyDescent="0.3">
      <c r="A11" s="1"/>
      <c r="B11" s="1">
        <v>0.2</v>
      </c>
      <c r="C11" s="1">
        <f>B11/SQRT(3)</f>
        <v>0.11547005383792516</v>
      </c>
      <c r="D11" s="1">
        <f>B11/SQRT(3)</f>
        <v>0.11547005383792516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728D-DB7A-48AC-96F2-90D17D913CED}">
  <dimension ref="A1:I130"/>
  <sheetViews>
    <sheetView workbookViewId="0">
      <selection activeCell="L17" sqref="L17"/>
    </sheetView>
  </sheetViews>
  <sheetFormatPr defaultRowHeight="14.4" x14ac:dyDescent="0.3"/>
  <sheetData>
    <row r="1" spans="1:9" x14ac:dyDescent="0.3">
      <c r="A1" t="s">
        <v>12</v>
      </c>
      <c r="B1" t="s">
        <v>20</v>
      </c>
      <c r="C1" t="s">
        <v>21</v>
      </c>
      <c r="D1" t="s">
        <v>15</v>
      </c>
      <c r="E1" t="s">
        <v>14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3">
      <c r="D2" cm="1">
        <f t="array" ref="D2">IF(C2=0, B2, MEAN(B2:C2))</f>
        <v>0</v>
      </c>
      <c r="E2">
        <f>IF(C2=0, Parametri!$D$8, ABS(B2-C2)/(2*SQRT(3)))</f>
        <v>0.11547005383792516</v>
      </c>
      <c r="F2">
        <f>(A2-Parametri!$A$11)+Parametri!$A$2+(Parametri!$A$5/2)</f>
        <v>0</v>
      </c>
      <c r="G2">
        <f>(B2-Parametri!$A$8)-(Dati!A2-Parametri!$A$11)+Parametri!$A$2</f>
        <v>0</v>
      </c>
      <c r="H2">
        <f>E2</f>
        <v>0.11547005383792516</v>
      </c>
      <c r="I2">
        <f>Parametri!$D$8</f>
        <v>0.11547005383792516</v>
      </c>
    </row>
    <row r="3" spans="1:9" x14ac:dyDescent="0.3">
      <c r="D3" cm="1">
        <f t="array" ref="D3">IF(C3=0, B3, MEAN(B3:C3))</f>
        <v>0</v>
      </c>
      <c r="E3">
        <f>IF(C3=0, Parametri!$D$8, ABS(B3-C3)/(2*SQRT(3)))</f>
        <v>0.11547005383792516</v>
      </c>
      <c r="F3">
        <f>(A3-Parametri!$A$11)+Parametri!$A$2+(Parametri!$A$5/2)</f>
        <v>0</v>
      </c>
      <c r="G3">
        <f>(B3-Parametri!$A$8)-(Dati!A3-Parametri!$A$11)+Parametri!$A$2</f>
        <v>0</v>
      </c>
      <c r="H3">
        <f t="shared" ref="H3:H66" si="0">E3</f>
        <v>0.11547005383792516</v>
      </c>
      <c r="I3">
        <f>Parametri!$D$8</f>
        <v>0.11547005383792516</v>
      </c>
    </row>
    <row r="4" spans="1:9" x14ac:dyDescent="0.3">
      <c r="D4" cm="1">
        <f t="array" ref="D4">IF(C4=0, B4, MEAN(B4:C4))</f>
        <v>0</v>
      </c>
      <c r="E4">
        <f>IF(C4=0, Parametri!$D$8, ABS(B4-C4)/(2*SQRT(3)))</f>
        <v>0.11547005383792516</v>
      </c>
      <c r="F4">
        <f>(A4-Parametri!$A$11)+Parametri!$A$2+(Parametri!$A$5/2)</f>
        <v>0</v>
      </c>
      <c r="G4">
        <f>(B4-Parametri!$A$8)-(Dati!A4-Parametri!$A$11)+Parametri!$A$2</f>
        <v>0</v>
      </c>
      <c r="H4">
        <f t="shared" si="0"/>
        <v>0.11547005383792516</v>
      </c>
      <c r="I4">
        <f>Parametri!$D$8</f>
        <v>0.11547005383792516</v>
      </c>
    </row>
    <row r="5" spans="1:9" x14ac:dyDescent="0.3">
      <c r="D5" cm="1">
        <f t="array" ref="D5">IF(C5=0, B5, MEAN(B5:C5))</f>
        <v>0</v>
      </c>
      <c r="E5">
        <f>IF(C5=0, Parametri!$D$8, ABS(B5-C5)/(2*SQRT(3)))</f>
        <v>0.11547005383792516</v>
      </c>
      <c r="F5">
        <f>(A5-Parametri!$A$11)+Parametri!$A$2+(Parametri!$A$5/2)</f>
        <v>0</v>
      </c>
      <c r="G5">
        <f>(B5-Parametri!$A$8)-(Dati!A5-Parametri!$A$11)+Parametri!$A$2</f>
        <v>0</v>
      </c>
      <c r="H5">
        <f t="shared" si="0"/>
        <v>0.11547005383792516</v>
      </c>
      <c r="I5">
        <f>Parametri!$D$8</f>
        <v>0.11547005383792516</v>
      </c>
    </row>
    <row r="6" spans="1:9" x14ac:dyDescent="0.3">
      <c r="D6" cm="1">
        <f t="array" ref="D6">IF(C6=0, B6, MEAN(B6:C6))</f>
        <v>0</v>
      </c>
      <c r="E6">
        <f>IF(C6=0, Parametri!$D$8, ABS(B6-C6)/(2*SQRT(3)))</f>
        <v>0.11547005383792516</v>
      </c>
      <c r="F6">
        <f>(A6-Parametri!$A$11)+Parametri!$A$2+(Parametri!$A$5/2)</f>
        <v>0</v>
      </c>
      <c r="G6">
        <f>(B6-Parametri!$A$8)-(Dati!A6-Parametri!$A$11)+Parametri!$A$2</f>
        <v>0</v>
      </c>
      <c r="H6">
        <f t="shared" si="0"/>
        <v>0.11547005383792516</v>
      </c>
      <c r="I6">
        <f>Parametri!$D$8</f>
        <v>0.11547005383792516</v>
      </c>
    </row>
    <row r="7" spans="1:9" x14ac:dyDescent="0.3">
      <c r="D7" cm="1">
        <f t="array" ref="D7">IF(C7=0, B7, MEAN(B7:C7))</f>
        <v>0</v>
      </c>
      <c r="E7">
        <f>IF(C7=0, Parametri!$D$8, ABS(B7-C7)/(2*SQRT(3)))</f>
        <v>0.11547005383792516</v>
      </c>
      <c r="F7">
        <f>(A7-Parametri!$A$11)+Parametri!$A$2+(Parametri!$A$5/2)</f>
        <v>0</v>
      </c>
      <c r="G7">
        <f>(B7-Parametri!$A$8)-(Dati!A7-Parametri!$A$11)+Parametri!$A$2</f>
        <v>0</v>
      </c>
      <c r="H7">
        <f t="shared" si="0"/>
        <v>0.11547005383792516</v>
      </c>
      <c r="I7">
        <f>Parametri!$D$8</f>
        <v>0.11547005383792516</v>
      </c>
    </row>
    <row r="8" spans="1:9" x14ac:dyDescent="0.3">
      <c r="D8" cm="1">
        <f t="array" ref="D8">IF(C8=0, B8, MEAN(B8:C8))</f>
        <v>0</v>
      </c>
      <c r="E8">
        <f>IF(C8=0, Parametri!$D$8, ABS(B8-C8)/(2*SQRT(3)))</f>
        <v>0.11547005383792516</v>
      </c>
      <c r="F8">
        <f>(A8-Parametri!$A$11)+Parametri!$A$2+(Parametri!$A$5/2)</f>
        <v>0</v>
      </c>
      <c r="G8">
        <f>(B8-Parametri!$A$8)-(Dati!A8-Parametri!$A$11)+Parametri!$A$2</f>
        <v>0</v>
      </c>
      <c r="H8">
        <f t="shared" si="0"/>
        <v>0.11547005383792516</v>
      </c>
      <c r="I8">
        <f>Parametri!$D$8</f>
        <v>0.11547005383792516</v>
      </c>
    </row>
    <row r="9" spans="1:9" x14ac:dyDescent="0.3">
      <c r="D9" cm="1">
        <f t="array" ref="D9">IF(C9=0, B9, MEAN(B9:C9))</f>
        <v>0</v>
      </c>
      <c r="E9">
        <f>IF(C9=0, Parametri!$D$8, ABS(B9-C9)/(2*SQRT(3)))</f>
        <v>0.11547005383792516</v>
      </c>
      <c r="F9">
        <f>(A9-Parametri!$A$11)+Parametri!$A$2+(Parametri!$A$5/2)</f>
        <v>0</v>
      </c>
      <c r="G9">
        <f>(B9-Parametri!$A$8)-(Dati!A9-Parametri!$A$11)+Parametri!$A$2</f>
        <v>0</v>
      </c>
      <c r="H9">
        <f t="shared" si="0"/>
        <v>0.11547005383792516</v>
      </c>
      <c r="I9">
        <f>Parametri!$D$8</f>
        <v>0.11547005383792516</v>
      </c>
    </row>
    <row r="10" spans="1:9" x14ac:dyDescent="0.3">
      <c r="D10" cm="1">
        <f t="array" ref="D10">IF(C10=0, B10, MEAN(B10:C10))</f>
        <v>0</v>
      </c>
      <c r="E10">
        <f>IF(C10=0, Parametri!$D$8, ABS(B10-C10)/(2*SQRT(3)))</f>
        <v>0.11547005383792516</v>
      </c>
      <c r="F10">
        <f>(A10-Parametri!$A$11)+Parametri!$A$2+(Parametri!$A$5/2)</f>
        <v>0</v>
      </c>
      <c r="G10">
        <f>(B10-Parametri!$A$8)-(Dati!A10-Parametri!$A$11)+Parametri!$A$2</f>
        <v>0</v>
      </c>
      <c r="H10">
        <f t="shared" si="0"/>
        <v>0.11547005383792516</v>
      </c>
      <c r="I10">
        <f>Parametri!$D$8</f>
        <v>0.11547005383792516</v>
      </c>
    </row>
    <row r="11" spans="1:9" x14ac:dyDescent="0.3">
      <c r="D11" cm="1">
        <f t="array" ref="D11">IF(C11=0, B11, MEAN(B11:C11))</f>
        <v>0</v>
      </c>
      <c r="E11">
        <f>IF(C11=0, Parametri!$D$8, ABS(B11-C11)/(2*SQRT(3)))</f>
        <v>0.11547005383792516</v>
      </c>
      <c r="F11">
        <f>(A11-Parametri!$A$11)+Parametri!$A$2+(Parametri!$A$5/2)</f>
        <v>0</v>
      </c>
      <c r="G11">
        <f>(B11-Parametri!$A$8)-(Dati!A11-Parametri!$A$11)+Parametri!$A$2</f>
        <v>0</v>
      </c>
      <c r="H11">
        <f t="shared" si="0"/>
        <v>0.11547005383792516</v>
      </c>
      <c r="I11">
        <f>Parametri!$D$8</f>
        <v>0.11547005383792516</v>
      </c>
    </row>
    <row r="12" spans="1:9" x14ac:dyDescent="0.3">
      <c r="D12" cm="1">
        <f t="array" ref="D12">IF(C12=0, B12, MEAN(B12:C12))</f>
        <v>0</v>
      </c>
      <c r="E12">
        <f>IF(C12=0, Parametri!$D$8, ABS(B12-C12)/(2*SQRT(3)))</f>
        <v>0.11547005383792516</v>
      </c>
      <c r="F12">
        <f>(A12-Parametri!$A$11)+Parametri!$A$2+(Parametri!$A$5/2)</f>
        <v>0</v>
      </c>
      <c r="G12">
        <f>(B12-Parametri!$A$8)-(Dati!A12-Parametri!$A$11)+Parametri!$A$2</f>
        <v>0</v>
      </c>
      <c r="H12">
        <f t="shared" si="0"/>
        <v>0.11547005383792516</v>
      </c>
      <c r="I12">
        <f>Parametri!$D$8</f>
        <v>0.11547005383792516</v>
      </c>
    </row>
    <row r="13" spans="1:9" x14ac:dyDescent="0.3">
      <c r="D13" cm="1">
        <f t="array" ref="D13">IF(C13=0, B13, MEAN(B13:C13))</f>
        <v>0</v>
      </c>
      <c r="E13">
        <f>IF(C13=0, Parametri!$D$8, ABS(B13-C13)/(2*SQRT(3)))</f>
        <v>0.11547005383792516</v>
      </c>
      <c r="F13">
        <f>(A13-Parametri!$A$11)+Parametri!$A$2+(Parametri!$A$5/2)</f>
        <v>0</v>
      </c>
      <c r="G13">
        <f>(B13-Parametri!$A$8)-(Dati!A13-Parametri!$A$11)+Parametri!$A$2</f>
        <v>0</v>
      </c>
      <c r="H13">
        <f t="shared" si="0"/>
        <v>0.11547005383792516</v>
      </c>
      <c r="I13">
        <f>Parametri!$D$8</f>
        <v>0.11547005383792516</v>
      </c>
    </row>
    <row r="14" spans="1:9" x14ac:dyDescent="0.3">
      <c r="D14" cm="1">
        <f t="array" ref="D14">IF(C14=0, B14, MEAN(B14:C14))</f>
        <v>0</v>
      </c>
      <c r="E14">
        <f>IF(C14=0, Parametri!$D$8, ABS(B14-C14)/(2*SQRT(3)))</f>
        <v>0.11547005383792516</v>
      </c>
      <c r="F14">
        <f>(A14-Parametri!$A$11)+Parametri!$A$2+(Parametri!$A$5/2)</f>
        <v>0</v>
      </c>
      <c r="G14">
        <f>(B14-Parametri!$A$8)-(Dati!A14-Parametri!$A$11)+Parametri!$A$2</f>
        <v>0</v>
      </c>
      <c r="H14">
        <f t="shared" si="0"/>
        <v>0.11547005383792516</v>
      </c>
      <c r="I14">
        <f>Parametri!$D$8</f>
        <v>0.11547005383792516</v>
      </c>
    </row>
    <row r="15" spans="1:9" x14ac:dyDescent="0.3">
      <c r="D15" cm="1">
        <f t="array" ref="D15">IF(C15=0, B15, MEAN(B15:C15))</f>
        <v>0</v>
      </c>
      <c r="E15">
        <f>IF(C15=0, Parametri!$D$8, ABS(B15-C15)/(2*SQRT(3)))</f>
        <v>0.11547005383792516</v>
      </c>
      <c r="F15">
        <f>(A15-Parametri!$A$11)+Parametri!$A$2+(Parametri!$A$5/2)</f>
        <v>0</v>
      </c>
      <c r="G15">
        <f>(B15-Parametri!$A$8)-(Dati!A15-Parametri!$A$11)+Parametri!$A$2</f>
        <v>0</v>
      </c>
      <c r="H15">
        <f t="shared" si="0"/>
        <v>0.11547005383792516</v>
      </c>
      <c r="I15">
        <f>Parametri!$D$8</f>
        <v>0.11547005383792516</v>
      </c>
    </row>
    <row r="16" spans="1:9" x14ac:dyDescent="0.3">
      <c r="D16" cm="1">
        <f t="array" ref="D16">IF(C16=0, B16, MEAN(B16:C16))</f>
        <v>0</v>
      </c>
      <c r="E16">
        <f>IF(C16=0, Parametri!$D$8, ABS(B16-C16)/(2*SQRT(3)))</f>
        <v>0.11547005383792516</v>
      </c>
      <c r="F16">
        <f>(A16-Parametri!$A$11)+Parametri!$A$2+(Parametri!$A$5/2)</f>
        <v>0</v>
      </c>
      <c r="G16">
        <f>(B16-Parametri!$A$8)-(Dati!A16-Parametri!$A$11)+Parametri!$A$2</f>
        <v>0</v>
      </c>
      <c r="H16">
        <f t="shared" si="0"/>
        <v>0.11547005383792516</v>
      </c>
      <c r="I16">
        <f>Parametri!$D$8</f>
        <v>0.11547005383792516</v>
      </c>
    </row>
    <row r="17" spans="4:9" x14ac:dyDescent="0.3">
      <c r="D17" cm="1">
        <f t="array" ref="D17">IF(C17=0, B17, MEAN(B17:C17))</f>
        <v>0</v>
      </c>
      <c r="E17">
        <f>IF(C17=0, Parametri!$D$8, ABS(B17-C17)/(2*SQRT(3)))</f>
        <v>0.11547005383792516</v>
      </c>
      <c r="F17">
        <f>(A17-Parametri!$A$11)+Parametri!$A$2+(Parametri!$A$5/2)</f>
        <v>0</v>
      </c>
      <c r="G17">
        <f>(B17-Parametri!$A$8)-(Dati!A17-Parametri!$A$11)+Parametri!$A$2</f>
        <v>0</v>
      </c>
      <c r="H17">
        <f t="shared" si="0"/>
        <v>0.11547005383792516</v>
      </c>
      <c r="I17">
        <f>Parametri!$D$8</f>
        <v>0.11547005383792516</v>
      </c>
    </row>
    <row r="18" spans="4:9" x14ac:dyDescent="0.3">
      <c r="D18" cm="1">
        <f t="array" ref="D18">IF(C18=0, B18, MEAN(B18:C18))</f>
        <v>0</v>
      </c>
      <c r="E18">
        <f>IF(C18=0, Parametri!$D$8, ABS(B18-C18)/(2*SQRT(3)))</f>
        <v>0.11547005383792516</v>
      </c>
      <c r="F18">
        <f>(A18-Parametri!$A$11)+Parametri!$A$2+(Parametri!$A$5/2)</f>
        <v>0</v>
      </c>
      <c r="G18">
        <f>(B18-Parametri!$A$8)-(Dati!A18-Parametri!$A$11)+Parametri!$A$2</f>
        <v>0</v>
      </c>
      <c r="H18">
        <f t="shared" si="0"/>
        <v>0.11547005383792516</v>
      </c>
      <c r="I18">
        <f>Parametri!$D$8</f>
        <v>0.11547005383792516</v>
      </c>
    </row>
    <row r="19" spans="4:9" x14ac:dyDescent="0.3">
      <c r="D19" cm="1">
        <f t="array" ref="D19">IF(C19=0, B19, MEAN(B19:C19))</f>
        <v>0</v>
      </c>
      <c r="E19">
        <f>IF(C19=0, Parametri!$D$8, ABS(B19-C19)/(2*SQRT(3)))</f>
        <v>0.11547005383792516</v>
      </c>
      <c r="F19">
        <f>(A19-Parametri!$A$11)+Parametri!$A$2+(Parametri!$A$5/2)</f>
        <v>0</v>
      </c>
      <c r="G19">
        <f>(B19-Parametri!$A$8)-(Dati!A19-Parametri!$A$11)+Parametri!$A$2</f>
        <v>0</v>
      </c>
      <c r="H19">
        <f t="shared" si="0"/>
        <v>0.11547005383792516</v>
      </c>
      <c r="I19">
        <f>Parametri!$D$8</f>
        <v>0.11547005383792516</v>
      </c>
    </row>
    <row r="20" spans="4:9" x14ac:dyDescent="0.3">
      <c r="D20" cm="1">
        <f t="array" ref="D20">IF(C20=0, B20, MEAN(B20:C20))</f>
        <v>0</v>
      </c>
      <c r="E20">
        <f>IF(C20=0, Parametri!$D$8, ABS(B20-C20)/(2*SQRT(3)))</f>
        <v>0.11547005383792516</v>
      </c>
      <c r="F20">
        <f>(A20-Parametri!$A$11)+Parametri!$A$2+(Parametri!$A$5/2)</f>
        <v>0</v>
      </c>
      <c r="G20">
        <f>(B20-Parametri!$A$8)-(Dati!A20-Parametri!$A$11)+Parametri!$A$2</f>
        <v>0</v>
      </c>
      <c r="H20">
        <f t="shared" si="0"/>
        <v>0.11547005383792516</v>
      </c>
      <c r="I20">
        <f>Parametri!$D$8</f>
        <v>0.11547005383792516</v>
      </c>
    </row>
    <row r="21" spans="4:9" x14ac:dyDescent="0.3">
      <c r="D21" cm="1">
        <f t="array" ref="D21">IF(C21=0, B21, MEAN(B21:C21))</f>
        <v>0</v>
      </c>
      <c r="E21">
        <f>IF(C21=0, Parametri!$D$8, ABS(B21-C21)/(2*SQRT(3)))</f>
        <v>0.11547005383792516</v>
      </c>
      <c r="F21">
        <f>(A21-Parametri!$A$11)+Parametri!$A$2+(Parametri!$A$5/2)</f>
        <v>0</v>
      </c>
      <c r="G21">
        <f>(B21-Parametri!$A$8)-(Dati!A21-Parametri!$A$11)+Parametri!$A$2</f>
        <v>0</v>
      </c>
      <c r="H21">
        <f t="shared" si="0"/>
        <v>0.11547005383792516</v>
      </c>
      <c r="I21">
        <f>Parametri!$D$8</f>
        <v>0.11547005383792516</v>
      </c>
    </row>
    <row r="22" spans="4:9" x14ac:dyDescent="0.3">
      <c r="D22" cm="1">
        <f t="array" ref="D22">IF(C22=0, B22, MEAN(B22:C22))</f>
        <v>0</v>
      </c>
      <c r="E22">
        <f>IF(C22=0, Parametri!$D$8, ABS(B22-C22)/(2*SQRT(3)))</f>
        <v>0.11547005383792516</v>
      </c>
      <c r="F22">
        <f>(A22-Parametri!$A$11)+Parametri!$A$2+(Parametri!$A$5/2)</f>
        <v>0</v>
      </c>
      <c r="G22">
        <f>(B22-Parametri!$A$8)-(Dati!A22-Parametri!$A$11)+Parametri!$A$2</f>
        <v>0</v>
      </c>
      <c r="H22">
        <f t="shared" si="0"/>
        <v>0.11547005383792516</v>
      </c>
      <c r="I22">
        <f>Parametri!$D$8</f>
        <v>0.11547005383792516</v>
      </c>
    </row>
    <row r="23" spans="4:9" x14ac:dyDescent="0.3">
      <c r="D23" cm="1">
        <f t="array" ref="D23">IF(C23=0, B23, MEAN(B23:C23))</f>
        <v>0</v>
      </c>
      <c r="E23">
        <f>IF(C23=0, Parametri!$D$8, ABS(B23-C23)/(2*SQRT(3)))</f>
        <v>0.11547005383792516</v>
      </c>
      <c r="F23">
        <f>(A23-Parametri!$A$11)+Parametri!$A$2+(Parametri!$A$5/2)</f>
        <v>0</v>
      </c>
      <c r="G23">
        <f>(B23-Parametri!$A$8)-(Dati!A23-Parametri!$A$11)+Parametri!$A$2</f>
        <v>0</v>
      </c>
      <c r="H23">
        <f t="shared" si="0"/>
        <v>0.11547005383792516</v>
      </c>
      <c r="I23">
        <f>Parametri!$D$8</f>
        <v>0.11547005383792516</v>
      </c>
    </row>
    <row r="24" spans="4:9" x14ac:dyDescent="0.3">
      <c r="D24" cm="1">
        <f t="array" ref="D24">IF(C24=0, B24, MEAN(B24:C24))</f>
        <v>0</v>
      </c>
      <c r="E24">
        <f>IF(C24=0, Parametri!$D$8, ABS(B24-C24)/(2*SQRT(3)))</f>
        <v>0.11547005383792516</v>
      </c>
      <c r="F24">
        <f>(A24-Parametri!$A$11)+Parametri!$A$2+(Parametri!$A$5/2)</f>
        <v>0</v>
      </c>
      <c r="G24">
        <f>(B24-Parametri!$A$8)-(Dati!A24-Parametri!$A$11)+Parametri!$A$2</f>
        <v>0</v>
      </c>
      <c r="H24">
        <f t="shared" si="0"/>
        <v>0.11547005383792516</v>
      </c>
      <c r="I24">
        <f>Parametri!$D$8</f>
        <v>0.11547005383792516</v>
      </c>
    </row>
    <row r="25" spans="4:9" x14ac:dyDescent="0.3">
      <c r="D25" cm="1">
        <f t="array" ref="D25">IF(C25=0, B25, MEAN(B25:C25))</f>
        <v>0</v>
      </c>
      <c r="E25">
        <f>IF(C25=0, Parametri!$D$8, ABS(B25-C25)/(2*SQRT(3)))</f>
        <v>0.11547005383792516</v>
      </c>
      <c r="F25">
        <f>(A25-Parametri!$A$11)+Parametri!$A$2+(Parametri!$A$5/2)</f>
        <v>0</v>
      </c>
      <c r="G25">
        <f>(B25-Parametri!$A$8)-(Dati!A25-Parametri!$A$11)+Parametri!$A$2</f>
        <v>0</v>
      </c>
      <c r="H25">
        <f t="shared" si="0"/>
        <v>0.11547005383792516</v>
      </c>
      <c r="I25">
        <f>Parametri!$D$8</f>
        <v>0.11547005383792516</v>
      </c>
    </row>
    <row r="26" spans="4:9" x14ac:dyDescent="0.3">
      <c r="D26" cm="1">
        <f t="array" ref="D26">IF(C26=0, B26, MEAN(B26:C26))</f>
        <v>0</v>
      </c>
      <c r="E26">
        <f>IF(C26=0, Parametri!$D$8, ABS(B26-C26)/(2*SQRT(3)))</f>
        <v>0.11547005383792516</v>
      </c>
      <c r="F26">
        <f>(A26-Parametri!$A$11)+Parametri!$A$2+(Parametri!$A$5/2)</f>
        <v>0</v>
      </c>
      <c r="G26">
        <f>(B26-Parametri!$A$8)-(Dati!A26-Parametri!$A$11)+Parametri!$A$2</f>
        <v>0</v>
      </c>
      <c r="H26">
        <f t="shared" si="0"/>
        <v>0.11547005383792516</v>
      </c>
      <c r="I26">
        <f>Parametri!$D$8</f>
        <v>0.11547005383792516</v>
      </c>
    </row>
    <row r="27" spans="4:9" x14ac:dyDescent="0.3">
      <c r="D27" cm="1">
        <f t="array" ref="D27">IF(C27=0, B27, MEAN(B27:C27))</f>
        <v>0</v>
      </c>
      <c r="E27">
        <f>IF(C27=0, Parametri!$D$8, ABS(B27-C27)/(2*SQRT(3)))</f>
        <v>0.11547005383792516</v>
      </c>
      <c r="F27">
        <f>(A27-Parametri!$A$11)+Parametri!$A$2+(Parametri!$A$5/2)</f>
        <v>0</v>
      </c>
      <c r="G27">
        <f>(B27-Parametri!$A$8)-(Dati!A27-Parametri!$A$11)+Parametri!$A$2</f>
        <v>0</v>
      </c>
      <c r="H27">
        <f t="shared" si="0"/>
        <v>0.11547005383792516</v>
      </c>
      <c r="I27">
        <f>Parametri!$D$8</f>
        <v>0.11547005383792516</v>
      </c>
    </row>
    <row r="28" spans="4:9" x14ac:dyDescent="0.3">
      <c r="D28" cm="1">
        <f t="array" ref="D28">IF(C28=0, B28, MEAN(B28:C28))</f>
        <v>0</v>
      </c>
      <c r="E28">
        <f>IF(C28=0, Parametri!$D$8, ABS(B28-C28)/(2*SQRT(3)))</f>
        <v>0.11547005383792516</v>
      </c>
      <c r="F28">
        <f>(A28-Parametri!$A$11)+Parametri!$A$2+(Parametri!$A$5/2)</f>
        <v>0</v>
      </c>
      <c r="G28">
        <f>(B28-Parametri!$A$8)-(Dati!A28-Parametri!$A$11)+Parametri!$A$2</f>
        <v>0</v>
      </c>
      <c r="H28">
        <f t="shared" si="0"/>
        <v>0.11547005383792516</v>
      </c>
      <c r="I28">
        <f>Parametri!$D$8</f>
        <v>0.11547005383792516</v>
      </c>
    </row>
    <row r="29" spans="4:9" x14ac:dyDescent="0.3">
      <c r="D29" cm="1">
        <f t="array" ref="D29">IF(C29=0, B29, MEAN(B29:C29))</f>
        <v>0</v>
      </c>
      <c r="E29">
        <f>IF(C29=0, Parametri!$D$8, ABS(B29-C29)/(2*SQRT(3)))</f>
        <v>0.11547005383792516</v>
      </c>
      <c r="F29">
        <f>(A29-Parametri!$A$11)+Parametri!$A$2+(Parametri!$A$5/2)</f>
        <v>0</v>
      </c>
      <c r="G29">
        <f>(B29-Parametri!$A$8)-(Dati!A29-Parametri!$A$11)+Parametri!$A$2</f>
        <v>0</v>
      </c>
      <c r="H29">
        <f t="shared" si="0"/>
        <v>0.11547005383792516</v>
      </c>
      <c r="I29">
        <f>Parametri!$D$8</f>
        <v>0.11547005383792516</v>
      </c>
    </row>
    <row r="30" spans="4:9" x14ac:dyDescent="0.3">
      <c r="D30" cm="1">
        <f t="array" ref="D30">IF(C30=0, B30, MEAN(B30:C30))</f>
        <v>0</v>
      </c>
      <c r="E30">
        <f>IF(C30=0, Parametri!$D$8, ABS(B30-C30)/(2*SQRT(3)))</f>
        <v>0.11547005383792516</v>
      </c>
      <c r="F30">
        <f>(A30-Parametri!$A$11)+Parametri!$A$2+(Parametri!$A$5/2)</f>
        <v>0</v>
      </c>
      <c r="G30">
        <f>(B30-Parametri!$A$8)-(Dati!A30-Parametri!$A$11)+Parametri!$A$2</f>
        <v>0</v>
      </c>
      <c r="H30">
        <f t="shared" si="0"/>
        <v>0.11547005383792516</v>
      </c>
      <c r="I30">
        <f>Parametri!$D$8</f>
        <v>0.11547005383792516</v>
      </c>
    </row>
    <row r="31" spans="4:9" x14ac:dyDescent="0.3">
      <c r="D31" cm="1">
        <f t="array" ref="D31">IF(C31=0, B31, MEAN(B31:C31))</f>
        <v>0</v>
      </c>
      <c r="E31">
        <f>IF(C31=0, Parametri!$D$8, ABS(B31-C31)/(2*SQRT(3)))</f>
        <v>0.11547005383792516</v>
      </c>
      <c r="F31">
        <f>(A31-Parametri!$A$11)+Parametri!$A$2+(Parametri!$A$5/2)</f>
        <v>0</v>
      </c>
      <c r="G31">
        <f>(B31-Parametri!$A$8)-(Dati!A31-Parametri!$A$11)+Parametri!$A$2</f>
        <v>0</v>
      </c>
      <c r="H31">
        <f t="shared" si="0"/>
        <v>0.11547005383792516</v>
      </c>
      <c r="I31">
        <f>Parametri!$D$8</f>
        <v>0.11547005383792516</v>
      </c>
    </row>
    <row r="32" spans="4:9" x14ac:dyDescent="0.3">
      <c r="D32" cm="1">
        <f t="array" ref="D32">IF(C32=0, B32, MEAN(B32:C32))</f>
        <v>0</v>
      </c>
      <c r="E32">
        <f>IF(C32=0, Parametri!$D$8, ABS(B32-C32)/(2*SQRT(3)))</f>
        <v>0.11547005383792516</v>
      </c>
      <c r="F32">
        <f>(A32-Parametri!$A$11)+Parametri!$A$2+(Parametri!$A$5/2)</f>
        <v>0</v>
      </c>
      <c r="G32">
        <f>(B32-Parametri!$A$8)-(Dati!A32-Parametri!$A$11)+Parametri!$A$2</f>
        <v>0</v>
      </c>
      <c r="H32">
        <f t="shared" si="0"/>
        <v>0.11547005383792516</v>
      </c>
      <c r="I32">
        <f>Parametri!$D$8</f>
        <v>0.11547005383792516</v>
      </c>
    </row>
    <row r="33" spans="4:9" x14ac:dyDescent="0.3">
      <c r="D33" cm="1">
        <f t="array" ref="D33">IF(C33=0, B33, MEAN(B33:C33))</f>
        <v>0</v>
      </c>
      <c r="E33">
        <f>IF(C33=0, Parametri!$D$8, ABS(B33-C33)/(2*SQRT(3)))</f>
        <v>0.11547005383792516</v>
      </c>
      <c r="F33">
        <f>(A33-Parametri!$A$11)+Parametri!$A$2+(Parametri!$A$5/2)</f>
        <v>0</v>
      </c>
      <c r="G33">
        <f>(B33-Parametri!$A$8)-(Dati!A33-Parametri!$A$11)+Parametri!$A$2</f>
        <v>0</v>
      </c>
      <c r="H33">
        <f t="shared" si="0"/>
        <v>0.11547005383792516</v>
      </c>
      <c r="I33">
        <f>Parametri!$D$8</f>
        <v>0.11547005383792516</v>
      </c>
    </row>
    <row r="34" spans="4:9" x14ac:dyDescent="0.3">
      <c r="D34" cm="1">
        <f t="array" ref="D34">IF(C34=0, B34, MEAN(B34:C34))</f>
        <v>0</v>
      </c>
      <c r="E34">
        <f>IF(C34=0, Parametri!$D$8, ABS(B34-C34)/(2*SQRT(3)))</f>
        <v>0.11547005383792516</v>
      </c>
      <c r="F34">
        <f>(A34-Parametri!$A$11)+Parametri!$A$2+(Parametri!$A$5/2)</f>
        <v>0</v>
      </c>
      <c r="G34">
        <f>(B34-Parametri!$A$8)-(Dati!A34-Parametri!$A$11)+Parametri!$A$2</f>
        <v>0</v>
      </c>
      <c r="H34">
        <f t="shared" si="0"/>
        <v>0.11547005383792516</v>
      </c>
      <c r="I34">
        <f>Parametri!$D$8</f>
        <v>0.11547005383792516</v>
      </c>
    </row>
    <row r="35" spans="4:9" x14ac:dyDescent="0.3">
      <c r="D35" cm="1">
        <f t="array" ref="D35">IF(C35=0, B35, MEAN(B35:C35))</f>
        <v>0</v>
      </c>
      <c r="E35">
        <f>IF(C35=0, Parametri!$D$8, ABS(B35-C35)/(2*SQRT(3)))</f>
        <v>0.11547005383792516</v>
      </c>
      <c r="F35">
        <f>(A35-Parametri!$A$11)+Parametri!$A$2+(Parametri!$A$5/2)</f>
        <v>0</v>
      </c>
      <c r="G35">
        <f>(B35-Parametri!$A$8)-(Dati!A35-Parametri!$A$11)+Parametri!$A$2</f>
        <v>0</v>
      </c>
      <c r="H35">
        <f t="shared" si="0"/>
        <v>0.11547005383792516</v>
      </c>
      <c r="I35">
        <f>Parametri!$D$8</f>
        <v>0.11547005383792516</v>
      </c>
    </row>
    <row r="36" spans="4:9" x14ac:dyDescent="0.3">
      <c r="D36" cm="1">
        <f t="array" ref="D36">IF(C36=0, B36, MEAN(B36:C36))</f>
        <v>0</v>
      </c>
      <c r="E36">
        <f>IF(C36=0, Parametri!$D$8, ABS(B36-C36)/(2*SQRT(3)))</f>
        <v>0.11547005383792516</v>
      </c>
      <c r="F36">
        <f>(A36-Parametri!$A$11)+Parametri!$A$2+(Parametri!$A$5/2)</f>
        <v>0</v>
      </c>
      <c r="G36">
        <f>(B36-Parametri!$A$8)-(Dati!A36-Parametri!$A$11)+Parametri!$A$2</f>
        <v>0</v>
      </c>
      <c r="H36">
        <f t="shared" si="0"/>
        <v>0.11547005383792516</v>
      </c>
      <c r="I36">
        <f>Parametri!$D$8</f>
        <v>0.11547005383792516</v>
      </c>
    </row>
    <row r="37" spans="4:9" x14ac:dyDescent="0.3">
      <c r="D37" cm="1">
        <f t="array" ref="D37">IF(C37=0, B37, MEAN(B37:C37))</f>
        <v>0</v>
      </c>
      <c r="E37">
        <f>IF(C37=0, Parametri!$D$8, ABS(B37-C37)/(2*SQRT(3)))</f>
        <v>0.11547005383792516</v>
      </c>
      <c r="F37">
        <f>(A37-Parametri!$A$11)+Parametri!$A$2+(Parametri!$A$5/2)</f>
        <v>0</v>
      </c>
      <c r="G37">
        <f>(B37-Parametri!$A$8)-(Dati!A37-Parametri!$A$11)+Parametri!$A$2</f>
        <v>0</v>
      </c>
      <c r="H37">
        <f t="shared" si="0"/>
        <v>0.11547005383792516</v>
      </c>
      <c r="I37">
        <f>Parametri!$D$8</f>
        <v>0.11547005383792516</v>
      </c>
    </row>
    <row r="38" spans="4:9" x14ac:dyDescent="0.3">
      <c r="D38" cm="1">
        <f t="array" ref="D38">IF(C38=0, B38, MEAN(B38:C38))</f>
        <v>0</v>
      </c>
      <c r="E38">
        <f>IF(C38=0, Parametri!$D$8, ABS(B38-C38)/(2*SQRT(3)))</f>
        <v>0.11547005383792516</v>
      </c>
      <c r="F38">
        <f>(A38-Parametri!$A$11)+Parametri!$A$2+(Parametri!$A$5/2)</f>
        <v>0</v>
      </c>
      <c r="G38">
        <f>(B38-Parametri!$A$8)-(Dati!A38-Parametri!$A$11)+Parametri!$A$2</f>
        <v>0</v>
      </c>
      <c r="H38">
        <f t="shared" si="0"/>
        <v>0.11547005383792516</v>
      </c>
      <c r="I38">
        <f>Parametri!$D$8</f>
        <v>0.11547005383792516</v>
      </c>
    </row>
    <row r="39" spans="4:9" x14ac:dyDescent="0.3">
      <c r="D39" cm="1">
        <f t="array" ref="D39">IF(C39=0, B39, MEAN(B39:C39))</f>
        <v>0</v>
      </c>
      <c r="E39">
        <f>IF(C39=0, Parametri!$D$8, ABS(B39-C39)/(2*SQRT(3)))</f>
        <v>0.11547005383792516</v>
      </c>
      <c r="F39">
        <f>(A39-Parametri!$A$11)+Parametri!$A$2+(Parametri!$A$5/2)</f>
        <v>0</v>
      </c>
      <c r="G39">
        <f>(B39-Parametri!$A$8)-(Dati!A39-Parametri!$A$11)+Parametri!$A$2</f>
        <v>0</v>
      </c>
      <c r="H39">
        <f t="shared" si="0"/>
        <v>0.11547005383792516</v>
      </c>
      <c r="I39">
        <f>Parametri!$D$8</f>
        <v>0.11547005383792516</v>
      </c>
    </row>
    <row r="40" spans="4:9" x14ac:dyDescent="0.3">
      <c r="D40" cm="1">
        <f t="array" ref="D40">IF(C40=0, B40, MEAN(B40:C40))</f>
        <v>0</v>
      </c>
      <c r="E40">
        <f>IF(C40=0, Parametri!$D$8, ABS(B40-C40)/(2*SQRT(3)))</f>
        <v>0.11547005383792516</v>
      </c>
      <c r="F40">
        <f>(A40-Parametri!$A$11)+Parametri!$A$2+(Parametri!$A$5/2)</f>
        <v>0</v>
      </c>
      <c r="G40">
        <f>(B40-Parametri!$A$8)-(Dati!A40-Parametri!$A$11)+Parametri!$A$2</f>
        <v>0</v>
      </c>
      <c r="H40">
        <f t="shared" si="0"/>
        <v>0.11547005383792516</v>
      </c>
      <c r="I40">
        <f>Parametri!$D$8</f>
        <v>0.11547005383792516</v>
      </c>
    </row>
    <row r="41" spans="4:9" x14ac:dyDescent="0.3">
      <c r="D41" cm="1">
        <f t="array" ref="D41">IF(C41=0, B41, MEAN(B41:C41))</f>
        <v>0</v>
      </c>
      <c r="E41">
        <f>IF(C41=0, Parametri!$D$8, ABS(B41-C41)/(2*SQRT(3)))</f>
        <v>0.11547005383792516</v>
      </c>
      <c r="F41">
        <f>(A41-Parametri!$A$11)+Parametri!$A$2+(Parametri!$A$5/2)</f>
        <v>0</v>
      </c>
      <c r="G41">
        <f>(B41-Parametri!$A$8)-(Dati!A41-Parametri!$A$11)+Parametri!$A$2</f>
        <v>0</v>
      </c>
      <c r="H41">
        <f t="shared" si="0"/>
        <v>0.11547005383792516</v>
      </c>
      <c r="I41">
        <f>Parametri!$D$8</f>
        <v>0.11547005383792516</v>
      </c>
    </row>
    <row r="42" spans="4:9" x14ac:dyDescent="0.3">
      <c r="D42" cm="1">
        <f t="array" ref="D42">IF(C42=0, B42, MEAN(B42:C42))</f>
        <v>0</v>
      </c>
      <c r="E42">
        <f>IF(C42=0, Parametri!$D$8, ABS(B42-C42)/(2*SQRT(3)))</f>
        <v>0.11547005383792516</v>
      </c>
      <c r="F42">
        <f>(A42-Parametri!$A$11)+Parametri!$A$2+(Parametri!$A$5/2)</f>
        <v>0</v>
      </c>
      <c r="G42">
        <f>(B42-Parametri!$A$8)-(Dati!A42-Parametri!$A$11)+Parametri!$A$2</f>
        <v>0</v>
      </c>
      <c r="H42">
        <f t="shared" si="0"/>
        <v>0.11547005383792516</v>
      </c>
      <c r="I42">
        <f>Parametri!$D$8</f>
        <v>0.11547005383792516</v>
      </c>
    </row>
    <row r="43" spans="4:9" x14ac:dyDescent="0.3">
      <c r="D43" cm="1">
        <f t="array" ref="D43">IF(C43=0, B43, MEAN(B43:C43))</f>
        <v>0</v>
      </c>
      <c r="E43">
        <f>IF(C43=0, Parametri!$D$8, ABS(B43-C43)/(2*SQRT(3)))</f>
        <v>0.11547005383792516</v>
      </c>
      <c r="F43">
        <f>(A43-Parametri!$A$11)+Parametri!$A$2+(Parametri!$A$5/2)</f>
        <v>0</v>
      </c>
      <c r="G43">
        <f>(B43-Parametri!$A$8)-(Dati!A43-Parametri!$A$11)+Parametri!$A$2</f>
        <v>0</v>
      </c>
      <c r="H43">
        <f t="shared" si="0"/>
        <v>0.11547005383792516</v>
      </c>
      <c r="I43">
        <f>Parametri!$D$8</f>
        <v>0.11547005383792516</v>
      </c>
    </row>
    <row r="44" spans="4:9" x14ac:dyDescent="0.3">
      <c r="D44" cm="1">
        <f t="array" ref="D44">IF(C44=0, B44, MEAN(B44:C44))</f>
        <v>0</v>
      </c>
      <c r="E44">
        <f>IF(C44=0, Parametri!$D$8, ABS(B44-C44)/(2*SQRT(3)))</f>
        <v>0.11547005383792516</v>
      </c>
      <c r="F44">
        <f>(A44-Parametri!$A$11)+Parametri!$A$2+(Parametri!$A$5/2)</f>
        <v>0</v>
      </c>
      <c r="G44">
        <f>(B44-Parametri!$A$8)-(Dati!A44-Parametri!$A$11)+Parametri!$A$2</f>
        <v>0</v>
      </c>
      <c r="H44">
        <f t="shared" si="0"/>
        <v>0.11547005383792516</v>
      </c>
      <c r="I44">
        <f>Parametri!$D$8</f>
        <v>0.11547005383792516</v>
      </c>
    </row>
    <row r="45" spans="4:9" x14ac:dyDescent="0.3">
      <c r="D45" cm="1">
        <f t="array" ref="D45">IF(C45=0, B45, MEAN(B45:C45))</f>
        <v>0</v>
      </c>
      <c r="E45">
        <f>IF(C45=0, Parametri!$D$8, ABS(B45-C45)/(2*SQRT(3)))</f>
        <v>0.11547005383792516</v>
      </c>
      <c r="F45">
        <f>(A45-Parametri!$A$11)+Parametri!$A$2+(Parametri!$A$5/2)</f>
        <v>0</v>
      </c>
      <c r="G45">
        <f>(B45-Parametri!$A$8)-(Dati!A45-Parametri!$A$11)+Parametri!$A$2</f>
        <v>0</v>
      </c>
      <c r="H45">
        <f t="shared" si="0"/>
        <v>0.11547005383792516</v>
      </c>
      <c r="I45">
        <f>Parametri!$D$8</f>
        <v>0.11547005383792516</v>
      </c>
    </row>
    <row r="46" spans="4:9" x14ac:dyDescent="0.3">
      <c r="D46" cm="1">
        <f t="array" ref="D46">IF(C46=0, B46, MEAN(B46:C46))</f>
        <v>0</v>
      </c>
      <c r="E46">
        <f>IF(C46=0, Parametri!$D$8, ABS(B46-C46)/(2*SQRT(3)))</f>
        <v>0.11547005383792516</v>
      </c>
      <c r="F46">
        <f>(A46-Parametri!$A$11)+Parametri!$A$2+(Parametri!$A$5/2)</f>
        <v>0</v>
      </c>
      <c r="G46">
        <f>(B46-Parametri!$A$8)-(Dati!A46-Parametri!$A$11)+Parametri!$A$2</f>
        <v>0</v>
      </c>
      <c r="H46">
        <f t="shared" si="0"/>
        <v>0.11547005383792516</v>
      </c>
      <c r="I46">
        <f>Parametri!$D$8</f>
        <v>0.11547005383792516</v>
      </c>
    </row>
    <row r="47" spans="4:9" x14ac:dyDescent="0.3">
      <c r="D47" cm="1">
        <f t="array" ref="D47">IF(C47=0, B47, MEAN(B47:C47))</f>
        <v>0</v>
      </c>
      <c r="E47">
        <f>IF(C47=0, Parametri!$D$8, ABS(B47-C47)/(2*SQRT(3)))</f>
        <v>0.11547005383792516</v>
      </c>
      <c r="F47">
        <f>(A47-Parametri!$A$11)+Parametri!$A$2+(Parametri!$A$5/2)</f>
        <v>0</v>
      </c>
      <c r="G47">
        <f>(B47-Parametri!$A$8)-(Dati!A47-Parametri!$A$11)+Parametri!$A$2</f>
        <v>0</v>
      </c>
      <c r="H47">
        <f t="shared" si="0"/>
        <v>0.11547005383792516</v>
      </c>
      <c r="I47">
        <f>Parametri!$D$8</f>
        <v>0.11547005383792516</v>
      </c>
    </row>
    <row r="48" spans="4:9" x14ac:dyDescent="0.3">
      <c r="D48" cm="1">
        <f t="array" ref="D48">IF(C48=0, B48, MEAN(B48:C48))</f>
        <v>0</v>
      </c>
      <c r="E48">
        <f>IF(C48=0, Parametri!$D$8, ABS(B48-C48)/(2*SQRT(3)))</f>
        <v>0.11547005383792516</v>
      </c>
      <c r="F48">
        <f>(A48-Parametri!$A$11)+Parametri!$A$2+(Parametri!$A$5/2)</f>
        <v>0</v>
      </c>
      <c r="G48">
        <f>(B48-Parametri!$A$8)-(Dati!A48-Parametri!$A$11)+Parametri!$A$2</f>
        <v>0</v>
      </c>
      <c r="H48">
        <f t="shared" si="0"/>
        <v>0.11547005383792516</v>
      </c>
      <c r="I48">
        <f>Parametri!$D$8</f>
        <v>0.11547005383792516</v>
      </c>
    </row>
    <row r="49" spans="4:9" x14ac:dyDescent="0.3">
      <c r="D49" cm="1">
        <f t="array" ref="D49">IF(C49=0, B49, MEAN(B49:C49))</f>
        <v>0</v>
      </c>
      <c r="E49">
        <f>IF(C49=0, Parametri!$D$8, ABS(B49-C49)/(2*SQRT(3)))</f>
        <v>0.11547005383792516</v>
      </c>
      <c r="F49">
        <f>(A49-Parametri!$A$11)+Parametri!$A$2+(Parametri!$A$5/2)</f>
        <v>0</v>
      </c>
      <c r="G49">
        <f>(B49-Parametri!$A$8)-(Dati!A49-Parametri!$A$11)+Parametri!$A$2</f>
        <v>0</v>
      </c>
      <c r="H49">
        <f t="shared" si="0"/>
        <v>0.11547005383792516</v>
      </c>
      <c r="I49">
        <f>Parametri!$D$8</f>
        <v>0.11547005383792516</v>
      </c>
    </row>
    <row r="50" spans="4:9" x14ac:dyDescent="0.3">
      <c r="D50" cm="1">
        <f t="array" ref="D50">IF(C50=0, B50, MEAN(B50:C50))</f>
        <v>0</v>
      </c>
      <c r="E50">
        <f>IF(C50=0, Parametri!$D$8, ABS(B50-C50)/(2*SQRT(3)))</f>
        <v>0.11547005383792516</v>
      </c>
      <c r="F50">
        <f>(A50-Parametri!$A$11)+Parametri!$A$2+(Parametri!$A$5/2)</f>
        <v>0</v>
      </c>
      <c r="G50">
        <f>(B50-Parametri!$A$8)-(Dati!A50-Parametri!$A$11)+Parametri!$A$2</f>
        <v>0</v>
      </c>
      <c r="H50">
        <f t="shared" si="0"/>
        <v>0.11547005383792516</v>
      </c>
      <c r="I50">
        <f>Parametri!$D$8</f>
        <v>0.11547005383792516</v>
      </c>
    </row>
    <row r="51" spans="4:9" x14ac:dyDescent="0.3">
      <c r="D51" cm="1">
        <f t="array" ref="D51">IF(C51=0, B51, MEAN(B51:C51))</f>
        <v>0</v>
      </c>
      <c r="E51">
        <f>IF(C51=0, Parametri!$D$8, ABS(B51-C51)/(2*SQRT(3)))</f>
        <v>0.11547005383792516</v>
      </c>
      <c r="F51">
        <f>(A51-Parametri!$A$11)+Parametri!$A$2+(Parametri!$A$5/2)</f>
        <v>0</v>
      </c>
      <c r="G51">
        <f>(B51-Parametri!$A$8)-(Dati!A51-Parametri!$A$11)+Parametri!$A$2</f>
        <v>0</v>
      </c>
      <c r="H51">
        <f t="shared" si="0"/>
        <v>0.11547005383792516</v>
      </c>
      <c r="I51">
        <f>Parametri!$D$8</f>
        <v>0.11547005383792516</v>
      </c>
    </row>
    <row r="52" spans="4:9" x14ac:dyDescent="0.3">
      <c r="D52" cm="1">
        <f t="array" ref="D52">IF(C52=0, B52, MEAN(B52:C52))</f>
        <v>0</v>
      </c>
      <c r="E52">
        <f>IF(C52=0, Parametri!$D$8, ABS(B52-C52)/(2*SQRT(3)))</f>
        <v>0.11547005383792516</v>
      </c>
      <c r="F52">
        <f>(A52-Parametri!$A$11)+Parametri!$A$2+(Parametri!$A$5/2)</f>
        <v>0</v>
      </c>
      <c r="G52">
        <f>(B52-Parametri!$A$8)-(Dati!A52-Parametri!$A$11)+Parametri!$A$2</f>
        <v>0</v>
      </c>
      <c r="H52">
        <f t="shared" si="0"/>
        <v>0.11547005383792516</v>
      </c>
      <c r="I52">
        <f>Parametri!$D$8</f>
        <v>0.11547005383792516</v>
      </c>
    </row>
    <row r="53" spans="4:9" x14ac:dyDescent="0.3">
      <c r="D53" cm="1">
        <f t="array" ref="D53">IF(C53=0, B53, MEAN(B53:C53))</f>
        <v>0</v>
      </c>
      <c r="E53">
        <f>IF(C53=0, Parametri!$D$8, ABS(B53-C53)/(2*SQRT(3)))</f>
        <v>0.11547005383792516</v>
      </c>
      <c r="F53">
        <f>(A53-Parametri!$A$11)+Parametri!$A$2+(Parametri!$A$5/2)</f>
        <v>0</v>
      </c>
      <c r="G53">
        <f>(B53-Parametri!$A$8)-(Dati!A53-Parametri!$A$11)+Parametri!$A$2</f>
        <v>0</v>
      </c>
      <c r="H53">
        <f t="shared" si="0"/>
        <v>0.11547005383792516</v>
      </c>
      <c r="I53">
        <f>Parametri!$D$8</f>
        <v>0.11547005383792516</v>
      </c>
    </row>
    <row r="54" spans="4:9" x14ac:dyDescent="0.3">
      <c r="D54" cm="1">
        <f t="array" ref="D54">IF(C54=0, B54, MEAN(B54:C54))</f>
        <v>0</v>
      </c>
      <c r="E54">
        <f>IF(C54=0, Parametri!$D$8, ABS(B54-C54)/(2*SQRT(3)))</f>
        <v>0.11547005383792516</v>
      </c>
      <c r="F54">
        <f>(A54-Parametri!$A$11)+Parametri!$A$2+(Parametri!$A$5/2)</f>
        <v>0</v>
      </c>
      <c r="G54">
        <f>(B54-Parametri!$A$8)-(Dati!A54-Parametri!$A$11)+Parametri!$A$2</f>
        <v>0</v>
      </c>
      <c r="H54">
        <f t="shared" si="0"/>
        <v>0.11547005383792516</v>
      </c>
      <c r="I54">
        <f>Parametri!$D$8</f>
        <v>0.11547005383792516</v>
      </c>
    </row>
    <row r="55" spans="4:9" x14ac:dyDescent="0.3">
      <c r="D55" cm="1">
        <f t="array" ref="D55">IF(C55=0, B55, MEAN(B55:C55))</f>
        <v>0</v>
      </c>
      <c r="E55">
        <f>IF(C55=0, Parametri!$D$8, ABS(B55-C55)/(2*SQRT(3)))</f>
        <v>0.11547005383792516</v>
      </c>
      <c r="F55">
        <f>(A55-Parametri!$A$11)+Parametri!$A$2+(Parametri!$A$5/2)</f>
        <v>0</v>
      </c>
      <c r="G55">
        <f>(B55-Parametri!$A$8)-(Dati!A55-Parametri!$A$11)+Parametri!$A$2</f>
        <v>0</v>
      </c>
      <c r="H55">
        <f t="shared" si="0"/>
        <v>0.11547005383792516</v>
      </c>
      <c r="I55">
        <f>Parametri!$D$8</f>
        <v>0.11547005383792516</v>
      </c>
    </row>
    <row r="56" spans="4:9" x14ac:dyDescent="0.3">
      <c r="D56" cm="1">
        <f t="array" ref="D56">IF(C56=0, B56, MEAN(B56:C56))</f>
        <v>0</v>
      </c>
      <c r="E56">
        <f>IF(C56=0, Parametri!$D$8, ABS(B56-C56)/(2*SQRT(3)))</f>
        <v>0.11547005383792516</v>
      </c>
      <c r="F56">
        <f>(A56-Parametri!$A$11)+Parametri!$A$2+(Parametri!$A$5/2)</f>
        <v>0</v>
      </c>
      <c r="G56">
        <f>(B56-Parametri!$A$8)-(Dati!A56-Parametri!$A$11)+Parametri!$A$2</f>
        <v>0</v>
      </c>
      <c r="H56">
        <f t="shared" si="0"/>
        <v>0.11547005383792516</v>
      </c>
      <c r="I56">
        <f>Parametri!$D$8</f>
        <v>0.11547005383792516</v>
      </c>
    </row>
    <row r="57" spans="4:9" x14ac:dyDescent="0.3">
      <c r="D57" cm="1">
        <f t="array" ref="D57">IF(C57=0, B57, MEAN(B57:C57))</f>
        <v>0</v>
      </c>
      <c r="E57">
        <f>IF(C57=0, Parametri!$D$8, ABS(B57-C57)/(2*SQRT(3)))</f>
        <v>0.11547005383792516</v>
      </c>
      <c r="F57">
        <f>(A57-Parametri!$A$11)+Parametri!$A$2+(Parametri!$A$5/2)</f>
        <v>0</v>
      </c>
      <c r="G57">
        <f>(B57-Parametri!$A$8)-(Dati!A57-Parametri!$A$11)+Parametri!$A$2</f>
        <v>0</v>
      </c>
      <c r="H57">
        <f t="shared" si="0"/>
        <v>0.11547005383792516</v>
      </c>
      <c r="I57">
        <f>Parametri!$D$8</f>
        <v>0.11547005383792516</v>
      </c>
    </row>
    <row r="58" spans="4:9" x14ac:dyDescent="0.3">
      <c r="D58" cm="1">
        <f t="array" ref="D58">IF(C58=0, B58, MEAN(B58:C58))</f>
        <v>0</v>
      </c>
      <c r="E58">
        <f>IF(C58=0, Parametri!$D$8, ABS(B58-C58)/(2*SQRT(3)))</f>
        <v>0.11547005383792516</v>
      </c>
      <c r="F58">
        <f>(A58-Parametri!$A$11)+Parametri!$A$2+(Parametri!$A$5/2)</f>
        <v>0</v>
      </c>
      <c r="G58">
        <f>(B58-Parametri!$A$8)-(Dati!A58-Parametri!$A$11)+Parametri!$A$2</f>
        <v>0</v>
      </c>
      <c r="H58">
        <f t="shared" si="0"/>
        <v>0.11547005383792516</v>
      </c>
      <c r="I58">
        <f>Parametri!$D$8</f>
        <v>0.11547005383792516</v>
      </c>
    </row>
    <row r="59" spans="4:9" x14ac:dyDescent="0.3">
      <c r="D59" cm="1">
        <f t="array" ref="D59">IF(C59=0, B59, MEAN(B59:C59))</f>
        <v>0</v>
      </c>
      <c r="E59">
        <f>IF(C59=0, Parametri!$D$8, ABS(B59-C59)/(2*SQRT(3)))</f>
        <v>0.11547005383792516</v>
      </c>
      <c r="F59">
        <f>(A59-Parametri!$A$11)+Parametri!$A$2+(Parametri!$A$5/2)</f>
        <v>0</v>
      </c>
      <c r="G59">
        <f>(B59-Parametri!$A$8)-(Dati!A59-Parametri!$A$11)+Parametri!$A$2</f>
        <v>0</v>
      </c>
      <c r="H59">
        <f t="shared" si="0"/>
        <v>0.11547005383792516</v>
      </c>
      <c r="I59">
        <f>Parametri!$D$8</f>
        <v>0.11547005383792516</v>
      </c>
    </row>
    <row r="60" spans="4:9" x14ac:dyDescent="0.3">
      <c r="D60" cm="1">
        <f t="array" ref="D60">IF(C60=0, B60, MEAN(B60:C60))</f>
        <v>0</v>
      </c>
      <c r="E60">
        <f>IF(C60=0, Parametri!$D$8, ABS(B60-C60)/(2*SQRT(3)))</f>
        <v>0.11547005383792516</v>
      </c>
      <c r="F60">
        <f>(A60-Parametri!$A$11)+Parametri!$A$2+(Parametri!$A$5/2)</f>
        <v>0</v>
      </c>
      <c r="G60">
        <f>(B60-Parametri!$A$8)-(Dati!A60-Parametri!$A$11)+Parametri!$A$2</f>
        <v>0</v>
      </c>
      <c r="H60">
        <f t="shared" si="0"/>
        <v>0.11547005383792516</v>
      </c>
      <c r="I60">
        <f>Parametri!$D$8</f>
        <v>0.11547005383792516</v>
      </c>
    </row>
    <row r="61" spans="4:9" x14ac:dyDescent="0.3">
      <c r="D61" cm="1">
        <f t="array" ref="D61">IF(C61=0, B61, MEAN(B61:C61))</f>
        <v>0</v>
      </c>
      <c r="E61">
        <f>IF(C61=0, Parametri!$D$8, ABS(B61-C61)/(2*SQRT(3)))</f>
        <v>0.11547005383792516</v>
      </c>
      <c r="F61">
        <f>(A61-Parametri!$A$11)+Parametri!$A$2+(Parametri!$A$5/2)</f>
        <v>0</v>
      </c>
      <c r="G61">
        <f>(B61-Parametri!$A$8)-(Dati!A61-Parametri!$A$11)+Parametri!$A$2</f>
        <v>0</v>
      </c>
      <c r="H61">
        <f t="shared" si="0"/>
        <v>0.11547005383792516</v>
      </c>
      <c r="I61">
        <f>Parametri!$D$8</f>
        <v>0.11547005383792516</v>
      </c>
    </row>
    <row r="62" spans="4:9" x14ac:dyDescent="0.3">
      <c r="D62" cm="1">
        <f t="array" ref="D62">IF(C62=0, B62, MEAN(B62:C62))</f>
        <v>0</v>
      </c>
      <c r="E62">
        <f>IF(C62=0, Parametri!$D$8, ABS(B62-C62)/(2*SQRT(3)))</f>
        <v>0.11547005383792516</v>
      </c>
      <c r="F62">
        <f>(A62-Parametri!$A$11)+Parametri!$A$2+(Parametri!$A$5/2)</f>
        <v>0</v>
      </c>
      <c r="G62">
        <f>(B62-Parametri!$A$8)-(Dati!A62-Parametri!$A$11)+Parametri!$A$2</f>
        <v>0</v>
      </c>
      <c r="H62">
        <f t="shared" si="0"/>
        <v>0.11547005383792516</v>
      </c>
      <c r="I62">
        <f>Parametri!$D$8</f>
        <v>0.11547005383792516</v>
      </c>
    </row>
    <row r="63" spans="4:9" x14ac:dyDescent="0.3">
      <c r="D63" cm="1">
        <f t="array" ref="D63">IF(C63=0, B63, MEAN(B63:C63))</f>
        <v>0</v>
      </c>
      <c r="E63">
        <f>IF(C63=0, Parametri!$D$8, ABS(B63-C63)/(2*SQRT(3)))</f>
        <v>0.11547005383792516</v>
      </c>
      <c r="F63">
        <f>(A63-Parametri!$A$11)+Parametri!$A$2+(Parametri!$A$5/2)</f>
        <v>0</v>
      </c>
      <c r="G63">
        <f>(B63-Parametri!$A$8)-(Dati!A63-Parametri!$A$11)+Parametri!$A$2</f>
        <v>0</v>
      </c>
      <c r="H63">
        <f t="shared" si="0"/>
        <v>0.11547005383792516</v>
      </c>
      <c r="I63">
        <f>Parametri!$D$8</f>
        <v>0.11547005383792516</v>
      </c>
    </row>
    <row r="64" spans="4:9" x14ac:dyDescent="0.3">
      <c r="D64" cm="1">
        <f t="array" ref="D64">IF(C64=0, B64, MEAN(B64:C64))</f>
        <v>0</v>
      </c>
      <c r="E64">
        <f>IF(C64=0, Parametri!$D$8, ABS(B64-C64)/(2*SQRT(3)))</f>
        <v>0.11547005383792516</v>
      </c>
      <c r="F64">
        <f>(A64-Parametri!$A$11)+Parametri!$A$2+(Parametri!$A$5/2)</f>
        <v>0</v>
      </c>
      <c r="G64">
        <f>(B64-Parametri!$A$8)-(Dati!A64-Parametri!$A$11)+Parametri!$A$2</f>
        <v>0</v>
      </c>
      <c r="H64">
        <f t="shared" si="0"/>
        <v>0.11547005383792516</v>
      </c>
      <c r="I64">
        <f>Parametri!$D$8</f>
        <v>0.11547005383792516</v>
      </c>
    </row>
    <row r="65" spans="4:9" x14ac:dyDescent="0.3">
      <c r="D65" cm="1">
        <f t="array" ref="D65">IF(C65=0, B65, MEAN(B65:C65))</f>
        <v>0</v>
      </c>
      <c r="E65">
        <f>IF(C65=0, Parametri!$D$8, ABS(B65-C65)/(2*SQRT(3)))</f>
        <v>0.11547005383792516</v>
      </c>
      <c r="F65">
        <f>(A65-Parametri!$A$11)+Parametri!$A$2+(Parametri!$A$5/2)</f>
        <v>0</v>
      </c>
      <c r="G65">
        <f>(B65-Parametri!$A$8)-(Dati!A65-Parametri!$A$11)+Parametri!$A$2</f>
        <v>0</v>
      </c>
      <c r="H65">
        <f t="shared" si="0"/>
        <v>0.11547005383792516</v>
      </c>
      <c r="I65">
        <f>Parametri!$D$8</f>
        <v>0.11547005383792516</v>
      </c>
    </row>
    <row r="66" spans="4:9" x14ac:dyDescent="0.3">
      <c r="D66" cm="1">
        <f t="array" ref="D66">IF(C66=0, B66, MEAN(B66:C66))</f>
        <v>0</v>
      </c>
      <c r="E66">
        <f>IF(C66=0, Parametri!$D$8, ABS(B66-C66)/(2*SQRT(3)))</f>
        <v>0.11547005383792516</v>
      </c>
      <c r="F66">
        <f>(A66-Parametri!$A$11)+Parametri!$A$2+(Parametri!$A$5/2)</f>
        <v>0</v>
      </c>
      <c r="G66">
        <f>(B66-Parametri!$A$8)-(Dati!A66-Parametri!$A$11)+Parametri!$A$2</f>
        <v>0</v>
      </c>
      <c r="H66">
        <f t="shared" si="0"/>
        <v>0.11547005383792516</v>
      </c>
      <c r="I66">
        <f>Parametri!$D$8</f>
        <v>0.11547005383792516</v>
      </c>
    </row>
    <row r="67" spans="4:9" x14ac:dyDescent="0.3">
      <c r="D67" cm="1">
        <f t="array" ref="D67">IF(C67=0, B67, MEAN(B67:C67))</f>
        <v>0</v>
      </c>
      <c r="E67">
        <f>IF(C67=0, Parametri!$D$8, ABS(B67-C67)/(2*SQRT(3)))</f>
        <v>0.11547005383792516</v>
      </c>
      <c r="F67">
        <f>(A67-Parametri!$A$11)+Parametri!$A$2+(Parametri!$A$5/2)</f>
        <v>0</v>
      </c>
      <c r="G67">
        <f>(B67-Parametri!$A$8)-(Dati!A67-Parametri!$A$11)+Parametri!$A$2</f>
        <v>0</v>
      </c>
      <c r="H67">
        <f t="shared" ref="H67:H130" si="1">E67</f>
        <v>0.11547005383792516</v>
      </c>
      <c r="I67">
        <f>Parametri!$D$8</f>
        <v>0.11547005383792516</v>
      </c>
    </row>
    <row r="68" spans="4:9" x14ac:dyDescent="0.3">
      <c r="D68" cm="1">
        <f t="array" ref="D68">IF(C68=0, B68, MEAN(B68:C68))</f>
        <v>0</v>
      </c>
      <c r="E68">
        <f>IF(C68=0, Parametri!$D$8, ABS(B68-C68)/(2*SQRT(3)))</f>
        <v>0.11547005383792516</v>
      </c>
      <c r="F68">
        <f>(A68-Parametri!$A$11)+Parametri!$A$2+(Parametri!$A$5/2)</f>
        <v>0</v>
      </c>
      <c r="G68">
        <f>(B68-Parametri!$A$8)-(Dati!A68-Parametri!$A$11)+Parametri!$A$2</f>
        <v>0</v>
      </c>
      <c r="H68">
        <f t="shared" si="1"/>
        <v>0.11547005383792516</v>
      </c>
      <c r="I68">
        <f>Parametri!$D$8</f>
        <v>0.11547005383792516</v>
      </c>
    </row>
    <row r="69" spans="4:9" x14ac:dyDescent="0.3">
      <c r="D69" cm="1">
        <f t="array" ref="D69">IF(C69=0, B69, MEAN(B69:C69))</f>
        <v>0</v>
      </c>
      <c r="E69">
        <f>IF(C69=0, Parametri!$D$8, ABS(B69-C69)/(2*SQRT(3)))</f>
        <v>0.11547005383792516</v>
      </c>
      <c r="F69">
        <f>(A69-Parametri!$A$11)+Parametri!$A$2+(Parametri!$A$5/2)</f>
        <v>0</v>
      </c>
      <c r="G69">
        <f>(B69-Parametri!$A$8)-(Dati!A69-Parametri!$A$11)+Parametri!$A$2</f>
        <v>0</v>
      </c>
      <c r="H69">
        <f t="shared" si="1"/>
        <v>0.11547005383792516</v>
      </c>
      <c r="I69">
        <f>Parametri!$D$8</f>
        <v>0.11547005383792516</v>
      </c>
    </row>
    <row r="70" spans="4:9" x14ac:dyDescent="0.3">
      <c r="D70" cm="1">
        <f t="array" ref="D70">IF(C70=0, B70, MEAN(B70:C70))</f>
        <v>0</v>
      </c>
      <c r="E70">
        <f>IF(C70=0, Parametri!$D$8, ABS(B70-C70)/(2*SQRT(3)))</f>
        <v>0.11547005383792516</v>
      </c>
      <c r="F70">
        <f>(A70-Parametri!$A$11)+Parametri!$A$2+(Parametri!$A$5/2)</f>
        <v>0</v>
      </c>
      <c r="G70">
        <f>(B70-Parametri!$A$8)-(Dati!A70-Parametri!$A$11)+Parametri!$A$2</f>
        <v>0</v>
      </c>
      <c r="H70">
        <f t="shared" si="1"/>
        <v>0.11547005383792516</v>
      </c>
      <c r="I70">
        <f>Parametri!$D$8</f>
        <v>0.11547005383792516</v>
      </c>
    </row>
    <row r="71" spans="4:9" x14ac:dyDescent="0.3">
      <c r="D71" cm="1">
        <f t="array" ref="D71">IF(C71=0, B71, MEAN(B71:C71))</f>
        <v>0</v>
      </c>
      <c r="E71">
        <f>IF(C71=0, Parametri!$D$8, ABS(B71-C71)/(2*SQRT(3)))</f>
        <v>0.11547005383792516</v>
      </c>
      <c r="F71">
        <f>(A71-Parametri!$A$11)+Parametri!$A$2+(Parametri!$A$5/2)</f>
        <v>0</v>
      </c>
      <c r="G71">
        <f>(B71-Parametri!$A$8)-(Dati!A71-Parametri!$A$11)+Parametri!$A$2</f>
        <v>0</v>
      </c>
      <c r="H71">
        <f t="shared" si="1"/>
        <v>0.11547005383792516</v>
      </c>
      <c r="I71">
        <f>Parametri!$D$8</f>
        <v>0.11547005383792516</v>
      </c>
    </row>
    <row r="72" spans="4:9" x14ac:dyDescent="0.3">
      <c r="D72" cm="1">
        <f t="array" ref="D72">IF(C72=0, B72, MEAN(B72:C72))</f>
        <v>0</v>
      </c>
      <c r="E72">
        <f>IF(C72=0, Parametri!$D$8, ABS(B72-C72)/(2*SQRT(3)))</f>
        <v>0.11547005383792516</v>
      </c>
      <c r="F72">
        <f>(A72-Parametri!$A$11)+Parametri!$A$2+(Parametri!$A$5/2)</f>
        <v>0</v>
      </c>
      <c r="G72">
        <f>(B72-Parametri!$A$8)-(Dati!A72-Parametri!$A$11)+Parametri!$A$2</f>
        <v>0</v>
      </c>
      <c r="H72">
        <f t="shared" si="1"/>
        <v>0.11547005383792516</v>
      </c>
      <c r="I72">
        <f>Parametri!$D$8</f>
        <v>0.11547005383792516</v>
      </c>
    </row>
    <row r="73" spans="4:9" x14ac:dyDescent="0.3">
      <c r="D73" cm="1">
        <f t="array" ref="D73">IF(C73=0, B73, MEAN(B73:C73))</f>
        <v>0</v>
      </c>
      <c r="E73">
        <f>IF(C73=0, Parametri!$D$8, ABS(B73-C73)/(2*SQRT(3)))</f>
        <v>0.11547005383792516</v>
      </c>
      <c r="F73">
        <f>(A73-Parametri!$A$11)+Parametri!$A$2+(Parametri!$A$5/2)</f>
        <v>0</v>
      </c>
      <c r="G73">
        <f>(B73-Parametri!$A$8)-(Dati!A73-Parametri!$A$11)+Parametri!$A$2</f>
        <v>0</v>
      </c>
      <c r="H73">
        <f t="shared" si="1"/>
        <v>0.11547005383792516</v>
      </c>
      <c r="I73">
        <f>Parametri!$D$8</f>
        <v>0.11547005383792516</v>
      </c>
    </row>
    <row r="74" spans="4:9" x14ac:dyDescent="0.3">
      <c r="D74" cm="1">
        <f t="array" ref="D74">IF(C74=0, B74, MEAN(B74:C74))</f>
        <v>0</v>
      </c>
      <c r="E74">
        <f>IF(C74=0, Parametri!$D$8, ABS(B74-C74)/(2*SQRT(3)))</f>
        <v>0.11547005383792516</v>
      </c>
      <c r="F74">
        <f>(A74-Parametri!$A$11)+Parametri!$A$2+(Parametri!$A$5/2)</f>
        <v>0</v>
      </c>
      <c r="G74">
        <f>(B74-Parametri!$A$8)-(Dati!A74-Parametri!$A$11)+Parametri!$A$2</f>
        <v>0</v>
      </c>
      <c r="H74">
        <f t="shared" si="1"/>
        <v>0.11547005383792516</v>
      </c>
      <c r="I74">
        <f>Parametri!$D$8</f>
        <v>0.11547005383792516</v>
      </c>
    </row>
    <row r="75" spans="4:9" x14ac:dyDescent="0.3">
      <c r="D75" cm="1">
        <f t="array" ref="D75">IF(C75=0, B75, MEAN(B75:C75))</f>
        <v>0</v>
      </c>
      <c r="E75">
        <f>IF(C75=0, Parametri!$D$8, ABS(B75-C75)/(2*SQRT(3)))</f>
        <v>0.11547005383792516</v>
      </c>
      <c r="F75">
        <f>(A75-Parametri!$A$11)+Parametri!$A$2+(Parametri!$A$5/2)</f>
        <v>0</v>
      </c>
      <c r="G75">
        <f>(B75-Parametri!$A$8)-(Dati!A75-Parametri!$A$11)+Parametri!$A$2</f>
        <v>0</v>
      </c>
      <c r="H75">
        <f t="shared" si="1"/>
        <v>0.11547005383792516</v>
      </c>
      <c r="I75">
        <f>Parametri!$D$8</f>
        <v>0.11547005383792516</v>
      </c>
    </row>
    <row r="76" spans="4:9" x14ac:dyDescent="0.3">
      <c r="D76" cm="1">
        <f t="array" ref="D76">IF(C76=0, B76, MEAN(B76:C76))</f>
        <v>0</v>
      </c>
      <c r="E76">
        <f>IF(C76=0, Parametri!$D$8, ABS(B76-C76)/(2*SQRT(3)))</f>
        <v>0.11547005383792516</v>
      </c>
      <c r="F76">
        <f>(A76-Parametri!$A$11)+Parametri!$A$2+(Parametri!$A$5/2)</f>
        <v>0</v>
      </c>
      <c r="G76">
        <f>(B76-Parametri!$A$8)-(Dati!A76-Parametri!$A$11)+Parametri!$A$2</f>
        <v>0</v>
      </c>
      <c r="H76">
        <f t="shared" si="1"/>
        <v>0.11547005383792516</v>
      </c>
      <c r="I76">
        <f>Parametri!$D$8</f>
        <v>0.11547005383792516</v>
      </c>
    </row>
    <row r="77" spans="4:9" x14ac:dyDescent="0.3">
      <c r="D77" cm="1">
        <f t="array" ref="D77">IF(C77=0, B77, MEAN(B77:C77))</f>
        <v>0</v>
      </c>
      <c r="E77">
        <f>IF(C77=0, Parametri!$D$8, ABS(B77-C77)/(2*SQRT(3)))</f>
        <v>0.11547005383792516</v>
      </c>
      <c r="F77">
        <f>(A77-Parametri!$A$11)+Parametri!$A$2+(Parametri!$A$5/2)</f>
        <v>0</v>
      </c>
      <c r="G77">
        <f>(B77-Parametri!$A$8)-(Dati!A77-Parametri!$A$11)+Parametri!$A$2</f>
        <v>0</v>
      </c>
      <c r="H77">
        <f t="shared" si="1"/>
        <v>0.11547005383792516</v>
      </c>
      <c r="I77">
        <f>Parametri!$D$8</f>
        <v>0.11547005383792516</v>
      </c>
    </row>
    <row r="78" spans="4:9" x14ac:dyDescent="0.3">
      <c r="D78" cm="1">
        <f t="array" ref="D78">IF(C78=0, B78, MEAN(B78:C78))</f>
        <v>0</v>
      </c>
      <c r="E78">
        <f>IF(C78=0, Parametri!$D$8, ABS(B78-C78)/(2*SQRT(3)))</f>
        <v>0.11547005383792516</v>
      </c>
      <c r="F78">
        <f>(A78-Parametri!$A$11)+Parametri!$A$2+(Parametri!$A$5/2)</f>
        <v>0</v>
      </c>
      <c r="G78">
        <f>(B78-Parametri!$A$8)-(Dati!A78-Parametri!$A$11)+Parametri!$A$2</f>
        <v>0</v>
      </c>
      <c r="H78">
        <f t="shared" si="1"/>
        <v>0.11547005383792516</v>
      </c>
      <c r="I78">
        <f>Parametri!$D$8</f>
        <v>0.11547005383792516</v>
      </c>
    </row>
    <row r="79" spans="4:9" x14ac:dyDescent="0.3">
      <c r="D79" cm="1">
        <f t="array" ref="D79">IF(C79=0, B79, MEAN(B79:C79))</f>
        <v>0</v>
      </c>
      <c r="E79">
        <f>IF(C79=0, Parametri!$D$8, ABS(B79-C79)/(2*SQRT(3)))</f>
        <v>0.11547005383792516</v>
      </c>
      <c r="F79">
        <f>(A79-Parametri!$A$11)+Parametri!$A$2+(Parametri!$A$5/2)</f>
        <v>0</v>
      </c>
      <c r="G79">
        <f>(B79-Parametri!$A$8)-(Dati!A79-Parametri!$A$11)+Parametri!$A$2</f>
        <v>0</v>
      </c>
      <c r="H79">
        <f t="shared" si="1"/>
        <v>0.11547005383792516</v>
      </c>
      <c r="I79">
        <f>Parametri!$D$8</f>
        <v>0.11547005383792516</v>
      </c>
    </row>
    <row r="80" spans="4:9" x14ac:dyDescent="0.3">
      <c r="D80" cm="1">
        <f t="array" ref="D80">IF(C80=0, B80, MEAN(B80:C80))</f>
        <v>0</v>
      </c>
      <c r="E80">
        <f>IF(C80=0, Parametri!$D$8, ABS(B80-C80)/(2*SQRT(3)))</f>
        <v>0.11547005383792516</v>
      </c>
      <c r="F80">
        <f>(A80-Parametri!$A$11)+Parametri!$A$2+(Parametri!$A$5/2)</f>
        <v>0</v>
      </c>
      <c r="G80">
        <f>(B80-Parametri!$A$8)-(Dati!A80-Parametri!$A$11)+Parametri!$A$2</f>
        <v>0</v>
      </c>
      <c r="H80">
        <f t="shared" si="1"/>
        <v>0.11547005383792516</v>
      </c>
      <c r="I80">
        <f>Parametri!$D$8</f>
        <v>0.11547005383792516</v>
      </c>
    </row>
    <row r="81" spans="4:9" x14ac:dyDescent="0.3">
      <c r="D81" cm="1">
        <f t="array" ref="D81">IF(C81=0, B81, MEAN(B81:C81))</f>
        <v>0</v>
      </c>
      <c r="E81">
        <f>IF(C81=0, Parametri!$D$8, ABS(B81-C81)/(2*SQRT(3)))</f>
        <v>0.11547005383792516</v>
      </c>
      <c r="F81">
        <f>(A81-Parametri!$A$11)+Parametri!$A$2+(Parametri!$A$5/2)</f>
        <v>0</v>
      </c>
      <c r="G81">
        <f>(B81-Parametri!$A$8)-(Dati!A81-Parametri!$A$11)+Parametri!$A$2</f>
        <v>0</v>
      </c>
      <c r="H81">
        <f t="shared" si="1"/>
        <v>0.11547005383792516</v>
      </c>
      <c r="I81">
        <f>Parametri!$D$8</f>
        <v>0.11547005383792516</v>
      </c>
    </row>
    <row r="82" spans="4:9" x14ac:dyDescent="0.3">
      <c r="D82" cm="1">
        <f t="array" ref="D82">IF(C82=0, B82, MEAN(B82:C82))</f>
        <v>0</v>
      </c>
      <c r="E82">
        <f>IF(C82=0, Parametri!$D$8, ABS(B82-C82)/(2*SQRT(3)))</f>
        <v>0.11547005383792516</v>
      </c>
      <c r="F82">
        <f>(A82-Parametri!$A$11)+Parametri!$A$2+(Parametri!$A$5/2)</f>
        <v>0</v>
      </c>
      <c r="G82">
        <f>(B82-Parametri!$A$8)-(Dati!A82-Parametri!$A$11)+Parametri!$A$2</f>
        <v>0</v>
      </c>
      <c r="H82">
        <f t="shared" si="1"/>
        <v>0.11547005383792516</v>
      </c>
      <c r="I82">
        <f>Parametri!$D$8</f>
        <v>0.11547005383792516</v>
      </c>
    </row>
    <row r="83" spans="4:9" x14ac:dyDescent="0.3">
      <c r="D83" cm="1">
        <f t="array" ref="D83">IF(C83=0, B83, MEAN(B83:C83))</f>
        <v>0</v>
      </c>
      <c r="E83">
        <f>IF(C83=0, Parametri!$D$8, ABS(B83-C83)/(2*SQRT(3)))</f>
        <v>0.11547005383792516</v>
      </c>
      <c r="F83">
        <f>(A83-Parametri!$A$11)+Parametri!$A$2+(Parametri!$A$5/2)</f>
        <v>0</v>
      </c>
      <c r="G83">
        <f>(B83-Parametri!$A$8)-(Dati!A83-Parametri!$A$11)+Parametri!$A$2</f>
        <v>0</v>
      </c>
      <c r="H83">
        <f t="shared" si="1"/>
        <v>0.11547005383792516</v>
      </c>
      <c r="I83">
        <f>Parametri!$D$8</f>
        <v>0.11547005383792516</v>
      </c>
    </row>
    <row r="84" spans="4:9" x14ac:dyDescent="0.3">
      <c r="D84" cm="1">
        <f t="array" ref="D84">IF(C84=0, B84, MEAN(B84:C84))</f>
        <v>0</v>
      </c>
      <c r="E84">
        <f>IF(C84=0, Parametri!$D$8, ABS(B84-C84)/(2*SQRT(3)))</f>
        <v>0.11547005383792516</v>
      </c>
      <c r="F84">
        <f>(A84-Parametri!$A$11)+Parametri!$A$2+(Parametri!$A$5/2)</f>
        <v>0</v>
      </c>
      <c r="G84">
        <f>(B84-Parametri!$A$8)-(Dati!A84-Parametri!$A$11)+Parametri!$A$2</f>
        <v>0</v>
      </c>
      <c r="H84">
        <f t="shared" si="1"/>
        <v>0.11547005383792516</v>
      </c>
      <c r="I84">
        <f>Parametri!$D$8</f>
        <v>0.11547005383792516</v>
      </c>
    </row>
    <row r="85" spans="4:9" x14ac:dyDescent="0.3">
      <c r="D85" cm="1">
        <f t="array" ref="D85">IF(C85=0, B85, MEAN(B85:C85))</f>
        <v>0</v>
      </c>
      <c r="E85">
        <f>IF(C85=0, Parametri!$D$8, ABS(B85-C85)/(2*SQRT(3)))</f>
        <v>0.11547005383792516</v>
      </c>
      <c r="F85">
        <f>(A85-Parametri!$A$11)+Parametri!$A$2+(Parametri!$A$5/2)</f>
        <v>0</v>
      </c>
      <c r="G85">
        <f>(B85-Parametri!$A$8)-(Dati!A85-Parametri!$A$11)+Parametri!$A$2</f>
        <v>0</v>
      </c>
      <c r="H85">
        <f t="shared" si="1"/>
        <v>0.11547005383792516</v>
      </c>
      <c r="I85">
        <f>Parametri!$D$8</f>
        <v>0.11547005383792516</v>
      </c>
    </row>
    <row r="86" spans="4:9" x14ac:dyDescent="0.3">
      <c r="D86" cm="1">
        <f t="array" ref="D86">IF(C86=0, B86, MEAN(B86:C86))</f>
        <v>0</v>
      </c>
      <c r="E86">
        <f>IF(C86=0, Parametri!$D$8, ABS(B86-C86)/(2*SQRT(3)))</f>
        <v>0.11547005383792516</v>
      </c>
      <c r="F86">
        <f>(A86-Parametri!$A$11)+Parametri!$A$2+(Parametri!$A$5/2)</f>
        <v>0</v>
      </c>
      <c r="G86">
        <f>(B86-Parametri!$A$8)-(Dati!A86-Parametri!$A$11)+Parametri!$A$2</f>
        <v>0</v>
      </c>
      <c r="H86">
        <f t="shared" si="1"/>
        <v>0.11547005383792516</v>
      </c>
      <c r="I86">
        <f>Parametri!$D$8</f>
        <v>0.11547005383792516</v>
      </c>
    </row>
    <row r="87" spans="4:9" x14ac:dyDescent="0.3">
      <c r="D87" cm="1">
        <f t="array" ref="D87">IF(C87=0, B87, MEAN(B87:C87))</f>
        <v>0</v>
      </c>
      <c r="E87">
        <f>IF(C87=0, Parametri!$D$8, ABS(B87-C87)/(2*SQRT(3)))</f>
        <v>0.11547005383792516</v>
      </c>
      <c r="F87">
        <f>(A87-Parametri!$A$11)+Parametri!$A$2+(Parametri!$A$5/2)</f>
        <v>0</v>
      </c>
      <c r="G87">
        <f>(B87-Parametri!$A$8)-(Dati!A87-Parametri!$A$11)+Parametri!$A$2</f>
        <v>0</v>
      </c>
      <c r="H87">
        <f t="shared" si="1"/>
        <v>0.11547005383792516</v>
      </c>
      <c r="I87">
        <f>Parametri!$D$8</f>
        <v>0.11547005383792516</v>
      </c>
    </row>
    <row r="88" spans="4:9" x14ac:dyDescent="0.3">
      <c r="D88" cm="1">
        <f t="array" ref="D88">IF(C88=0, B88, MEAN(B88:C88))</f>
        <v>0</v>
      </c>
      <c r="E88">
        <f>IF(C88=0, Parametri!$D$8, ABS(B88-C88)/(2*SQRT(3)))</f>
        <v>0.11547005383792516</v>
      </c>
      <c r="F88">
        <f>(A88-Parametri!$A$11)+Parametri!$A$2+(Parametri!$A$5/2)</f>
        <v>0</v>
      </c>
      <c r="G88">
        <f>(B88-Parametri!$A$8)-(Dati!A88-Parametri!$A$11)+Parametri!$A$2</f>
        <v>0</v>
      </c>
      <c r="H88">
        <f t="shared" si="1"/>
        <v>0.11547005383792516</v>
      </c>
      <c r="I88">
        <f>Parametri!$D$8</f>
        <v>0.11547005383792516</v>
      </c>
    </row>
    <row r="89" spans="4:9" x14ac:dyDescent="0.3">
      <c r="D89" cm="1">
        <f t="array" ref="D89">IF(C89=0, B89, MEAN(B89:C89))</f>
        <v>0</v>
      </c>
      <c r="E89">
        <f>IF(C89=0, Parametri!$D$8, ABS(B89-C89)/(2*SQRT(3)))</f>
        <v>0.11547005383792516</v>
      </c>
      <c r="F89">
        <f>(A89-Parametri!$A$11)+Parametri!$A$2+(Parametri!$A$5/2)</f>
        <v>0</v>
      </c>
      <c r="G89">
        <f>(B89-Parametri!$A$8)-(Dati!A89-Parametri!$A$11)+Parametri!$A$2</f>
        <v>0</v>
      </c>
      <c r="H89">
        <f t="shared" si="1"/>
        <v>0.11547005383792516</v>
      </c>
      <c r="I89">
        <f>Parametri!$D$8</f>
        <v>0.11547005383792516</v>
      </c>
    </row>
    <row r="90" spans="4:9" x14ac:dyDescent="0.3">
      <c r="D90" cm="1">
        <f t="array" ref="D90">IF(C90=0, B90, MEAN(B90:C90))</f>
        <v>0</v>
      </c>
      <c r="E90">
        <f>IF(C90=0, Parametri!$D$8, ABS(B90-C90)/(2*SQRT(3)))</f>
        <v>0.11547005383792516</v>
      </c>
      <c r="F90">
        <f>(A90-Parametri!$A$11)+Parametri!$A$2+(Parametri!$A$5/2)</f>
        <v>0</v>
      </c>
      <c r="G90">
        <f>(B90-Parametri!$A$8)-(Dati!A90-Parametri!$A$11)+Parametri!$A$2</f>
        <v>0</v>
      </c>
      <c r="H90">
        <f t="shared" si="1"/>
        <v>0.11547005383792516</v>
      </c>
      <c r="I90">
        <f>Parametri!$D$8</f>
        <v>0.11547005383792516</v>
      </c>
    </row>
    <row r="91" spans="4:9" x14ac:dyDescent="0.3">
      <c r="D91" cm="1">
        <f t="array" ref="D91">IF(C91=0, B91, MEAN(B91:C91))</f>
        <v>0</v>
      </c>
      <c r="E91">
        <f>IF(C91=0, Parametri!$D$8, ABS(B91-C91)/(2*SQRT(3)))</f>
        <v>0.11547005383792516</v>
      </c>
      <c r="F91">
        <f>(A91-Parametri!$A$11)+Parametri!$A$2+(Parametri!$A$5/2)</f>
        <v>0</v>
      </c>
      <c r="G91">
        <f>(B91-Parametri!$A$8)-(Dati!A91-Parametri!$A$11)+Parametri!$A$2</f>
        <v>0</v>
      </c>
      <c r="H91">
        <f t="shared" si="1"/>
        <v>0.11547005383792516</v>
      </c>
      <c r="I91">
        <f>Parametri!$D$8</f>
        <v>0.11547005383792516</v>
      </c>
    </row>
    <row r="92" spans="4:9" x14ac:dyDescent="0.3">
      <c r="D92" cm="1">
        <f t="array" ref="D92">IF(C92=0, B92, MEAN(B92:C92))</f>
        <v>0</v>
      </c>
      <c r="E92">
        <f>IF(C92=0, Parametri!$D$8, ABS(B92-C92)/(2*SQRT(3)))</f>
        <v>0.11547005383792516</v>
      </c>
      <c r="F92">
        <f>(A92-Parametri!$A$11)+Parametri!$A$2+(Parametri!$A$5/2)</f>
        <v>0</v>
      </c>
      <c r="G92">
        <f>(B92-Parametri!$A$8)-(Dati!A92-Parametri!$A$11)+Parametri!$A$2</f>
        <v>0</v>
      </c>
      <c r="H92">
        <f t="shared" si="1"/>
        <v>0.11547005383792516</v>
      </c>
      <c r="I92">
        <f>Parametri!$D$8</f>
        <v>0.11547005383792516</v>
      </c>
    </row>
    <row r="93" spans="4:9" x14ac:dyDescent="0.3">
      <c r="D93" cm="1">
        <f t="array" ref="D93">IF(C93=0, B93, MEAN(B93:C93))</f>
        <v>0</v>
      </c>
      <c r="E93">
        <f>IF(C93=0, Parametri!$D$8, ABS(B93-C93)/(2*SQRT(3)))</f>
        <v>0.11547005383792516</v>
      </c>
      <c r="F93">
        <f>(A93-Parametri!$A$11)+Parametri!$A$2+(Parametri!$A$5/2)</f>
        <v>0</v>
      </c>
      <c r="G93">
        <f>(B93-Parametri!$A$8)-(Dati!A93-Parametri!$A$11)+Parametri!$A$2</f>
        <v>0</v>
      </c>
      <c r="H93">
        <f t="shared" si="1"/>
        <v>0.11547005383792516</v>
      </c>
      <c r="I93">
        <f>Parametri!$D$8</f>
        <v>0.11547005383792516</v>
      </c>
    </row>
    <row r="94" spans="4:9" x14ac:dyDescent="0.3">
      <c r="D94" cm="1">
        <f t="array" ref="D94">IF(C94=0, B94, MEAN(B94:C94))</f>
        <v>0</v>
      </c>
      <c r="E94">
        <f>IF(C94=0, Parametri!$D$8, ABS(B94-C94)/(2*SQRT(3)))</f>
        <v>0.11547005383792516</v>
      </c>
      <c r="F94">
        <f>(A94-Parametri!$A$11)+Parametri!$A$2+(Parametri!$A$5/2)</f>
        <v>0</v>
      </c>
      <c r="G94">
        <f>(B94-Parametri!$A$8)-(Dati!A94-Parametri!$A$11)+Parametri!$A$2</f>
        <v>0</v>
      </c>
      <c r="H94">
        <f t="shared" si="1"/>
        <v>0.11547005383792516</v>
      </c>
      <c r="I94">
        <f>Parametri!$D$8</f>
        <v>0.11547005383792516</v>
      </c>
    </row>
    <row r="95" spans="4:9" x14ac:dyDescent="0.3">
      <c r="D95" cm="1">
        <f t="array" ref="D95">IF(C95=0, B95, MEAN(B95:C95))</f>
        <v>0</v>
      </c>
      <c r="E95">
        <f>IF(C95=0, Parametri!$D$8, ABS(B95-C95)/(2*SQRT(3)))</f>
        <v>0.11547005383792516</v>
      </c>
      <c r="F95">
        <f>(A95-Parametri!$A$11)+Parametri!$A$2+(Parametri!$A$5/2)</f>
        <v>0</v>
      </c>
      <c r="G95">
        <f>(B95-Parametri!$A$8)-(Dati!A95-Parametri!$A$11)+Parametri!$A$2</f>
        <v>0</v>
      </c>
      <c r="H95">
        <f t="shared" si="1"/>
        <v>0.11547005383792516</v>
      </c>
      <c r="I95">
        <f>Parametri!$D$8</f>
        <v>0.11547005383792516</v>
      </c>
    </row>
    <row r="96" spans="4:9" x14ac:dyDescent="0.3">
      <c r="D96" cm="1">
        <f t="array" ref="D96">IF(C96=0, B96, MEAN(B96:C96))</f>
        <v>0</v>
      </c>
      <c r="E96">
        <f>IF(C96=0, Parametri!$D$8, ABS(B96-C96)/(2*SQRT(3)))</f>
        <v>0.11547005383792516</v>
      </c>
      <c r="F96">
        <f>(A96-Parametri!$A$11)+Parametri!$A$2+(Parametri!$A$5/2)</f>
        <v>0</v>
      </c>
      <c r="G96">
        <f>(B96-Parametri!$A$8)-(Dati!A96-Parametri!$A$11)+Parametri!$A$2</f>
        <v>0</v>
      </c>
      <c r="H96">
        <f t="shared" si="1"/>
        <v>0.11547005383792516</v>
      </c>
      <c r="I96">
        <f>Parametri!$D$8</f>
        <v>0.11547005383792516</v>
      </c>
    </row>
    <row r="97" spans="4:9" x14ac:dyDescent="0.3">
      <c r="D97" cm="1">
        <f t="array" ref="D97">IF(C97=0, B97, MEAN(B97:C97))</f>
        <v>0</v>
      </c>
      <c r="E97">
        <f>IF(C97=0, Parametri!$D$8, ABS(B97-C97)/(2*SQRT(3)))</f>
        <v>0.11547005383792516</v>
      </c>
      <c r="F97">
        <f>(A97-Parametri!$A$11)+Parametri!$A$2+(Parametri!$A$5/2)</f>
        <v>0</v>
      </c>
      <c r="G97">
        <f>(B97-Parametri!$A$8)-(Dati!A97-Parametri!$A$11)+Parametri!$A$2</f>
        <v>0</v>
      </c>
      <c r="H97">
        <f t="shared" si="1"/>
        <v>0.11547005383792516</v>
      </c>
      <c r="I97">
        <f>Parametri!$D$8</f>
        <v>0.11547005383792516</v>
      </c>
    </row>
    <row r="98" spans="4:9" x14ac:dyDescent="0.3">
      <c r="D98" cm="1">
        <f t="array" ref="D98">IF(C98=0, B98, MEAN(B98:C98))</f>
        <v>0</v>
      </c>
      <c r="E98">
        <f>IF(C98=0, Parametri!$D$8, ABS(B98-C98)/(2*SQRT(3)))</f>
        <v>0.11547005383792516</v>
      </c>
      <c r="F98">
        <f>(A98-Parametri!$A$11)+Parametri!$A$2+(Parametri!$A$5/2)</f>
        <v>0</v>
      </c>
      <c r="G98">
        <f>(B98-Parametri!$A$8)-(Dati!A98-Parametri!$A$11)+Parametri!$A$2</f>
        <v>0</v>
      </c>
      <c r="H98">
        <f t="shared" si="1"/>
        <v>0.11547005383792516</v>
      </c>
      <c r="I98">
        <f>Parametri!$D$8</f>
        <v>0.11547005383792516</v>
      </c>
    </row>
    <row r="99" spans="4:9" x14ac:dyDescent="0.3">
      <c r="D99" cm="1">
        <f t="array" ref="D99">IF(C99=0, B99, MEAN(B99:C99))</f>
        <v>0</v>
      </c>
      <c r="E99">
        <f>IF(C99=0, Parametri!$D$8, ABS(B99-C99)/(2*SQRT(3)))</f>
        <v>0.11547005383792516</v>
      </c>
      <c r="F99">
        <f>(A99-Parametri!$A$11)+Parametri!$A$2+(Parametri!$A$5/2)</f>
        <v>0</v>
      </c>
      <c r="G99">
        <f>(B99-Parametri!$A$8)-(Dati!A99-Parametri!$A$11)+Parametri!$A$2</f>
        <v>0</v>
      </c>
      <c r="H99">
        <f t="shared" si="1"/>
        <v>0.11547005383792516</v>
      </c>
      <c r="I99">
        <f>Parametri!$D$8</f>
        <v>0.11547005383792516</v>
      </c>
    </row>
    <row r="100" spans="4:9" x14ac:dyDescent="0.3">
      <c r="D100" cm="1">
        <f t="array" ref="D100">IF(C100=0, B100, MEAN(B100:C100))</f>
        <v>0</v>
      </c>
      <c r="E100">
        <f>IF(C100=0, Parametri!$D$8, ABS(B100-C100)/(2*SQRT(3)))</f>
        <v>0.11547005383792516</v>
      </c>
      <c r="F100">
        <f>(A100-Parametri!$A$11)+Parametri!$A$2+(Parametri!$A$5/2)</f>
        <v>0</v>
      </c>
      <c r="G100">
        <f>(B100-Parametri!$A$8)-(Dati!A100-Parametri!$A$11)+Parametri!$A$2</f>
        <v>0</v>
      </c>
      <c r="H100">
        <f t="shared" si="1"/>
        <v>0.11547005383792516</v>
      </c>
      <c r="I100">
        <f>Parametri!$D$8</f>
        <v>0.11547005383792516</v>
      </c>
    </row>
    <row r="101" spans="4:9" x14ac:dyDescent="0.3">
      <c r="D101" cm="1">
        <f t="array" ref="D101">IF(C101=0, B101, MEAN(B101:C101))</f>
        <v>0</v>
      </c>
      <c r="E101">
        <f>IF(C101=0, Parametri!$D$8, ABS(B101-C101)/(2*SQRT(3)))</f>
        <v>0.11547005383792516</v>
      </c>
      <c r="F101">
        <f>(A101-Parametri!$A$11)+Parametri!$A$2+(Parametri!$A$5/2)</f>
        <v>0</v>
      </c>
      <c r="G101">
        <f>(B101-Parametri!$A$8)-(Dati!A101-Parametri!$A$11)+Parametri!$A$2</f>
        <v>0</v>
      </c>
      <c r="H101">
        <f t="shared" si="1"/>
        <v>0.11547005383792516</v>
      </c>
      <c r="I101">
        <f>Parametri!$D$8</f>
        <v>0.11547005383792516</v>
      </c>
    </row>
    <row r="102" spans="4:9" x14ac:dyDescent="0.3">
      <c r="D102" cm="1">
        <f t="array" ref="D102">IF(C102=0, B102, MEAN(B102:C102))</f>
        <v>0</v>
      </c>
      <c r="E102">
        <f>IF(C102=0, Parametri!$D$8, ABS(B102-C102)/(2*SQRT(3)))</f>
        <v>0.11547005383792516</v>
      </c>
      <c r="F102">
        <f>(A102-Parametri!$A$11)+Parametri!$A$2+(Parametri!$A$5/2)</f>
        <v>0</v>
      </c>
      <c r="G102">
        <f>(B102-Parametri!$A$8)-(Dati!A102-Parametri!$A$11)+Parametri!$A$2</f>
        <v>0</v>
      </c>
      <c r="H102">
        <f t="shared" si="1"/>
        <v>0.11547005383792516</v>
      </c>
      <c r="I102">
        <f>Parametri!$D$8</f>
        <v>0.11547005383792516</v>
      </c>
    </row>
    <row r="103" spans="4:9" x14ac:dyDescent="0.3">
      <c r="D103" cm="1">
        <f t="array" ref="D103">IF(C103=0, B103, MEAN(B103:C103))</f>
        <v>0</v>
      </c>
      <c r="E103">
        <f>IF(C103=0, Parametri!$D$8, ABS(B103-C103)/(2*SQRT(3)))</f>
        <v>0.11547005383792516</v>
      </c>
      <c r="F103">
        <f>(A103-Parametri!$A$11)+Parametri!$A$2+(Parametri!$A$5/2)</f>
        <v>0</v>
      </c>
      <c r="G103">
        <f>(B103-Parametri!$A$8)-(Dati!A103-Parametri!$A$11)+Parametri!$A$2</f>
        <v>0</v>
      </c>
      <c r="H103">
        <f t="shared" si="1"/>
        <v>0.11547005383792516</v>
      </c>
      <c r="I103">
        <f>Parametri!$D$8</f>
        <v>0.11547005383792516</v>
      </c>
    </row>
    <row r="104" spans="4:9" x14ac:dyDescent="0.3">
      <c r="D104" cm="1">
        <f t="array" ref="D104">IF(C104=0, B104, MEAN(B104:C104))</f>
        <v>0</v>
      </c>
      <c r="E104">
        <f>IF(C104=0, Parametri!$D$8, ABS(B104-C104)/(2*SQRT(3)))</f>
        <v>0.11547005383792516</v>
      </c>
      <c r="F104">
        <f>(A104-Parametri!$A$11)+Parametri!$A$2+(Parametri!$A$5/2)</f>
        <v>0</v>
      </c>
      <c r="G104">
        <f>(B104-Parametri!$A$8)-(Dati!A104-Parametri!$A$11)+Parametri!$A$2</f>
        <v>0</v>
      </c>
      <c r="H104">
        <f t="shared" si="1"/>
        <v>0.11547005383792516</v>
      </c>
      <c r="I104">
        <f>Parametri!$D$8</f>
        <v>0.11547005383792516</v>
      </c>
    </row>
    <row r="105" spans="4:9" x14ac:dyDescent="0.3">
      <c r="D105" cm="1">
        <f t="array" ref="D105">IF(C105=0, B105, MEAN(B105:C105))</f>
        <v>0</v>
      </c>
      <c r="E105">
        <f>IF(C105=0, Parametri!$D$8, ABS(B105-C105)/(2*SQRT(3)))</f>
        <v>0.11547005383792516</v>
      </c>
      <c r="F105">
        <f>(A105-Parametri!$A$11)+Parametri!$A$2+(Parametri!$A$5/2)</f>
        <v>0</v>
      </c>
      <c r="G105">
        <f>(B105-Parametri!$A$8)-(Dati!A105-Parametri!$A$11)+Parametri!$A$2</f>
        <v>0</v>
      </c>
      <c r="H105">
        <f t="shared" si="1"/>
        <v>0.11547005383792516</v>
      </c>
      <c r="I105">
        <f>Parametri!$D$8</f>
        <v>0.11547005383792516</v>
      </c>
    </row>
    <row r="106" spans="4:9" x14ac:dyDescent="0.3">
      <c r="D106" cm="1">
        <f t="array" ref="D106">IF(C106=0, B106, MEAN(B106:C106))</f>
        <v>0</v>
      </c>
      <c r="E106">
        <f>IF(C106=0, Parametri!$D$8, ABS(B106-C106)/(2*SQRT(3)))</f>
        <v>0.11547005383792516</v>
      </c>
      <c r="F106">
        <f>(A106-Parametri!$A$11)+Parametri!$A$2+(Parametri!$A$5/2)</f>
        <v>0</v>
      </c>
      <c r="G106">
        <f>(B106-Parametri!$A$8)-(Dati!A106-Parametri!$A$11)+Parametri!$A$2</f>
        <v>0</v>
      </c>
      <c r="H106">
        <f t="shared" si="1"/>
        <v>0.11547005383792516</v>
      </c>
      <c r="I106">
        <f>Parametri!$D$8</f>
        <v>0.11547005383792516</v>
      </c>
    </row>
    <row r="107" spans="4:9" x14ac:dyDescent="0.3">
      <c r="D107" cm="1">
        <f t="array" ref="D107">IF(C107=0, B107, MEAN(B107:C107))</f>
        <v>0</v>
      </c>
      <c r="E107">
        <f>IF(C107=0, Parametri!$D$8, ABS(B107-C107)/(2*SQRT(3)))</f>
        <v>0.11547005383792516</v>
      </c>
      <c r="F107">
        <f>(A107-Parametri!$A$11)+Parametri!$A$2+(Parametri!$A$5/2)</f>
        <v>0</v>
      </c>
      <c r="G107">
        <f>(B107-Parametri!$A$8)-(Dati!A107-Parametri!$A$11)+Parametri!$A$2</f>
        <v>0</v>
      </c>
      <c r="H107">
        <f t="shared" si="1"/>
        <v>0.11547005383792516</v>
      </c>
      <c r="I107">
        <f>Parametri!$D$8</f>
        <v>0.11547005383792516</v>
      </c>
    </row>
    <row r="108" spans="4:9" x14ac:dyDescent="0.3">
      <c r="D108" cm="1">
        <f t="array" ref="D108">IF(C108=0, B108, MEAN(B108:C108))</f>
        <v>0</v>
      </c>
      <c r="E108">
        <f>IF(C108=0, Parametri!$D$8, ABS(B108-C108)/(2*SQRT(3)))</f>
        <v>0.11547005383792516</v>
      </c>
      <c r="F108">
        <f>(A108-Parametri!$A$11)+Parametri!$A$2+(Parametri!$A$5/2)</f>
        <v>0</v>
      </c>
      <c r="G108">
        <f>(B108-Parametri!$A$8)-(Dati!A108-Parametri!$A$11)+Parametri!$A$2</f>
        <v>0</v>
      </c>
      <c r="H108">
        <f t="shared" si="1"/>
        <v>0.11547005383792516</v>
      </c>
      <c r="I108">
        <f>Parametri!$D$8</f>
        <v>0.11547005383792516</v>
      </c>
    </row>
    <row r="109" spans="4:9" x14ac:dyDescent="0.3">
      <c r="D109" cm="1">
        <f t="array" ref="D109">IF(C109=0, B109, MEAN(B109:C109))</f>
        <v>0</v>
      </c>
      <c r="E109">
        <f>IF(C109=0, Parametri!$D$8, ABS(B109-C109)/(2*SQRT(3)))</f>
        <v>0.11547005383792516</v>
      </c>
      <c r="F109">
        <f>(A109-Parametri!$A$11)+Parametri!$A$2+(Parametri!$A$5/2)</f>
        <v>0</v>
      </c>
      <c r="G109">
        <f>(B109-Parametri!$A$8)-(Dati!A109-Parametri!$A$11)+Parametri!$A$2</f>
        <v>0</v>
      </c>
      <c r="H109">
        <f t="shared" si="1"/>
        <v>0.11547005383792516</v>
      </c>
      <c r="I109">
        <f>Parametri!$D$8</f>
        <v>0.11547005383792516</v>
      </c>
    </row>
    <row r="110" spans="4:9" x14ac:dyDescent="0.3">
      <c r="D110" cm="1">
        <f t="array" ref="D110">IF(C110=0, B110, MEAN(B110:C110))</f>
        <v>0</v>
      </c>
      <c r="E110">
        <f>IF(C110=0, Parametri!$D$8, ABS(B110-C110)/(2*SQRT(3)))</f>
        <v>0.11547005383792516</v>
      </c>
      <c r="F110">
        <f>(A110-Parametri!$A$11)+Parametri!$A$2+(Parametri!$A$5/2)</f>
        <v>0</v>
      </c>
      <c r="G110">
        <f>(B110-Parametri!$A$8)-(Dati!A110-Parametri!$A$11)+Parametri!$A$2</f>
        <v>0</v>
      </c>
      <c r="H110">
        <f t="shared" si="1"/>
        <v>0.11547005383792516</v>
      </c>
      <c r="I110">
        <f>Parametri!$D$8</f>
        <v>0.11547005383792516</v>
      </c>
    </row>
    <row r="111" spans="4:9" x14ac:dyDescent="0.3">
      <c r="D111" cm="1">
        <f t="array" ref="D111">IF(C111=0, B111, MEAN(B111:C111))</f>
        <v>0</v>
      </c>
      <c r="E111">
        <f>IF(C111=0, Parametri!$D$8, ABS(B111-C111)/(2*SQRT(3)))</f>
        <v>0.11547005383792516</v>
      </c>
      <c r="F111">
        <f>(A111-Parametri!$A$11)+Parametri!$A$2+(Parametri!$A$5/2)</f>
        <v>0</v>
      </c>
      <c r="G111">
        <f>(B111-Parametri!$A$8)-(Dati!A111-Parametri!$A$11)+Parametri!$A$2</f>
        <v>0</v>
      </c>
      <c r="H111">
        <f t="shared" si="1"/>
        <v>0.11547005383792516</v>
      </c>
      <c r="I111">
        <f>Parametri!$D$8</f>
        <v>0.11547005383792516</v>
      </c>
    </row>
    <row r="112" spans="4:9" x14ac:dyDescent="0.3">
      <c r="D112" cm="1">
        <f t="array" ref="D112">IF(C112=0, B112, MEAN(B112:C112))</f>
        <v>0</v>
      </c>
      <c r="E112">
        <f>IF(C112=0, Parametri!$D$8, ABS(B112-C112)/(2*SQRT(3)))</f>
        <v>0.11547005383792516</v>
      </c>
      <c r="F112">
        <f>(A112-Parametri!$A$11)+Parametri!$A$2+(Parametri!$A$5/2)</f>
        <v>0</v>
      </c>
      <c r="G112">
        <f>(B112-Parametri!$A$8)-(Dati!A112-Parametri!$A$11)+Parametri!$A$2</f>
        <v>0</v>
      </c>
      <c r="H112">
        <f t="shared" si="1"/>
        <v>0.11547005383792516</v>
      </c>
      <c r="I112">
        <f>Parametri!$D$8</f>
        <v>0.11547005383792516</v>
      </c>
    </row>
    <row r="113" spans="4:9" x14ac:dyDescent="0.3">
      <c r="D113" cm="1">
        <f t="array" ref="D113">IF(C113=0, B113, MEAN(B113:C113))</f>
        <v>0</v>
      </c>
      <c r="E113">
        <f>IF(C113=0, Parametri!$D$8, ABS(B113-C113)/(2*SQRT(3)))</f>
        <v>0.11547005383792516</v>
      </c>
      <c r="F113">
        <f>(A113-Parametri!$A$11)+Parametri!$A$2+(Parametri!$A$5/2)</f>
        <v>0</v>
      </c>
      <c r="G113">
        <f>(B113-Parametri!$A$8)-(Dati!A113-Parametri!$A$11)+Parametri!$A$2</f>
        <v>0</v>
      </c>
      <c r="H113">
        <f t="shared" si="1"/>
        <v>0.11547005383792516</v>
      </c>
      <c r="I113">
        <f>Parametri!$D$8</f>
        <v>0.11547005383792516</v>
      </c>
    </row>
    <row r="114" spans="4:9" x14ac:dyDescent="0.3">
      <c r="D114" cm="1">
        <f t="array" ref="D114">IF(C114=0, B114, MEAN(B114:C114))</f>
        <v>0</v>
      </c>
      <c r="E114">
        <f>IF(C114=0, Parametri!$D$8, ABS(B114-C114)/(2*SQRT(3)))</f>
        <v>0.11547005383792516</v>
      </c>
      <c r="F114">
        <f>(A114-Parametri!$A$11)+Parametri!$A$2+(Parametri!$A$5/2)</f>
        <v>0</v>
      </c>
      <c r="G114">
        <f>(B114-Parametri!$A$8)-(Dati!A114-Parametri!$A$11)+Parametri!$A$2</f>
        <v>0</v>
      </c>
      <c r="H114">
        <f t="shared" si="1"/>
        <v>0.11547005383792516</v>
      </c>
      <c r="I114">
        <f>Parametri!$D$8</f>
        <v>0.11547005383792516</v>
      </c>
    </row>
    <row r="115" spans="4:9" x14ac:dyDescent="0.3">
      <c r="D115" cm="1">
        <f t="array" ref="D115">IF(C115=0, B115, MEAN(B115:C115))</f>
        <v>0</v>
      </c>
      <c r="E115">
        <f>IF(C115=0, Parametri!$D$8, ABS(B115-C115)/(2*SQRT(3)))</f>
        <v>0.11547005383792516</v>
      </c>
      <c r="F115">
        <f>(A115-Parametri!$A$11)+Parametri!$A$2+(Parametri!$A$5/2)</f>
        <v>0</v>
      </c>
      <c r="G115">
        <f>(B115-Parametri!$A$8)-(Dati!A115-Parametri!$A$11)+Parametri!$A$2</f>
        <v>0</v>
      </c>
      <c r="H115">
        <f t="shared" si="1"/>
        <v>0.11547005383792516</v>
      </c>
      <c r="I115">
        <f>Parametri!$D$8</f>
        <v>0.11547005383792516</v>
      </c>
    </row>
    <row r="116" spans="4:9" x14ac:dyDescent="0.3">
      <c r="D116" cm="1">
        <f t="array" ref="D116">IF(C116=0, B116, MEAN(B116:C116))</f>
        <v>0</v>
      </c>
      <c r="E116">
        <f>IF(C116=0, Parametri!$D$8, ABS(B116-C116)/(2*SQRT(3)))</f>
        <v>0.11547005383792516</v>
      </c>
      <c r="F116">
        <f>(A116-Parametri!$A$11)+Parametri!$A$2+(Parametri!$A$5/2)</f>
        <v>0</v>
      </c>
      <c r="G116">
        <f>(B116-Parametri!$A$8)-(Dati!A116-Parametri!$A$11)+Parametri!$A$2</f>
        <v>0</v>
      </c>
      <c r="H116">
        <f t="shared" si="1"/>
        <v>0.11547005383792516</v>
      </c>
      <c r="I116">
        <f>Parametri!$D$8</f>
        <v>0.11547005383792516</v>
      </c>
    </row>
    <row r="117" spans="4:9" x14ac:dyDescent="0.3">
      <c r="D117" cm="1">
        <f t="array" ref="D117">IF(C117=0, B117, MEAN(B117:C117))</f>
        <v>0</v>
      </c>
      <c r="E117">
        <f>IF(C117=0, Parametri!$D$8, ABS(B117-C117)/(2*SQRT(3)))</f>
        <v>0.11547005383792516</v>
      </c>
      <c r="F117">
        <f>(A117-Parametri!$A$11)+Parametri!$A$2+(Parametri!$A$5/2)</f>
        <v>0</v>
      </c>
      <c r="G117">
        <f>(B117-Parametri!$A$8)-(Dati!A117-Parametri!$A$11)+Parametri!$A$2</f>
        <v>0</v>
      </c>
      <c r="H117">
        <f t="shared" si="1"/>
        <v>0.11547005383792516</v>
      </c>
      <c r="I117">
        <f>Parametri!$D$8</f>
        <v>0.11547005383792516</v>
      </c>
    </row>
    <row r="118" spans="4:9" x14ac:dyDescent="0.3">
      <c r="D118" cm="1">
        <f t="array" ref="D118">IF(C118=0, B118, MEAN(B118:C118))</f>
        <v>0</v>
      </c>
      <c r="E118">
        <f>IF(C118=0, Parametri!$D$8, ABS(B118-C118)/(2*SQRT(3)))</f>
        <v>0.11547005383792516</v>
      </c>
      <c r="F118">
        <f>(A118-Parametri!$A$11)+Parametri!$A$2+(Parametri!$A$5/2)</f>
        <v>0</v>
      </c>
      <c r="G118">
        <f>(B118-Parametri!$A$8)-(Dati!A118-Parametri!$A$11)+Parametri!$A$2</f>
        <v>0</v>
      </c>
      <c r="H118">
        <f t="shared" si="1"/>
        <v>0.11547005383792516</v>
      </c>
      <c r="I118">
        <f>Parametri!$D$8</f>
        <v>0.11547005383792516</v>
      </c>
    </row>
    <row r="119" spans="4:9" x14ac:dyDescent="0.3">
      <c r="D119" cm="1">
        <f t="array" ref="D119">IF(C119=0, B119, MEAN(B119:C119))</f>
        <v>0</v>
      </c>
      <c r="E119">
        <f>IF(C119=0, Parametri!$D$8, ABS(B119-C119)/(2*SQRT(3)))</f>
        <v>0.11547005383792516</v>
      </c>
      <c r="F119">
        <f>(A119-Parametri!$A$11)+Parametri!$A$2+(Parametri!$A$5/2)</f>
        <v>0</v>
      </c>
      <c r="G119">
        <f>(B119-Parametri!$A$8)-(Dati!A119-Parametri!$A$11)+Parametri!$A$2</f>
        <v>0</v>
      </c>
      <c r="H119">
        <f t="shared" si="1"/>
        <v>0.11547005383792516</v>
      </c>
      <c r="I119">
        <f>Parametri!$D$8</f>
        <v>0.11547005383792516</v>
      </c>
    </row>
    <row r="120" spans="4:9" x14ac:dyDescent="0.3">
      <c r="D120" cm="1">
        <f t="array" ref="D120">IF(C120=0, B120, MEAN(B120:C120))</f>
        <v>0</v>
      </c>
      <c r="E120">
        <f>IF(C120=0, Parametri!$D$8, ABS(B120-C120)/(2*SQRT(3)))</f>
        <v>0.11547005383792516</v>
      </c>
      <c r="F120">
        <f>(A120-Parametri!$A$11)+Parametri!$A$2+(Parametri!$A$5/2)</f>
        <v>0</v>
      </c>
      <c r="G120">
        <f>(B120-Parametri!$A$8)-(Dati!A120-Parametri!$A$11)+Parametri!$A$2</f>
        <v>0</v>
      </c>
      <c r="H120">
        <f t="shared" si="1"/>
        <v>0.11547005383792516</v>
      </c>
      <c r="I120">
        <f>Parametri!$D$8</f>
        <v>0.11547005383792516</v>
      </c>
    </row>
    <row r="121" spans="4:9" x14ac:dyDescent="0.3">
      <c r="D121" cm="1">
        <f t="array" ref="D121">IF(C121=0, B121, MEAN(B121:C121))</f>
        <v>0</v>
      </c>
      <c r="E121">
        <f>IF(C121=0, Parametri!$D$8, ABS(B121-C121)/(2*SQRT(3)))</f>
        <v>0.11547005383792516</v>
      </c>
      <c r="F121">
        <f>(A121-Parametri!$A$11)+Parametri!$A$2+(Parametri!$A$5/2)</f>
        <v>0</v>
      </c>
      <c r="G121">
        <f>(B121-Parametri!$A$8)-(Dati!A121-Parametri!$A$11)+Parametri!$A$2</f>
        <v>0</v>
      </c>
      <c r="H121">
        <f t="shared" si="1"/>
        <v>0.11547005383792516</v>
      </c>
      <c r="I121">
        <f>Parametri!$D$8</f>
        <v>0.11547005383792516</v>
      </c>
    </row>
    <row r="122" spans="4:9" x14ac:dyDescent="0.3">
      <c r="D122" cm="1">
        <f t="array" ref="D122">IF(C122=0, B122, MEAN(B122:C122))</f>
        <v>0</v>
      </c>
      <c r="E122">
        <f>IF(C122=0, Parametri!$D$8, ABS(B122-C122)/(2*SQRT(3)))</f>
        <v>0.11547005383792516</v>
      </c>
      <c r="F122">
        <f>(A122-Parametri!$A$11)+Parametri!$A$2+(Parametri!$A$5/2)</f>
        <v>0</v>
      </c>
      <c r="G122">
        <f>(B122-Parametri!$A$8)-(Dati!A122-Parametri!$A$11)+Parametri!$A$2</f>
        <v>0</v>
      </c>
      <c r="H122">
        <f t="shared" si="1"/>
        <v>0.11547005383792516</v>
      </c>
      <c r="I122">
        <f>Parametri!$D$8</f>
        <v>0.11547005383792516</v>
      </c>
    </row>
    <row r="123" spans="4:9" x14ac:dyDescent="0.3">
      <c r="D123" cm="1">
        <f t="array" ref="D123">IF(C123=0, B123, MEAN(B123:C123))</f>
        <v>0</v>
      </c>
      <c r="E123">
        <f>IF(C123=0, Parametri!$D$8, ABS(B123-C123)/(2*SQRT(3)))</f>
        <v>0.11547005383792516</v>
      </c>
      <c r="F123">
        <f>(A123-Parametri!$A$11)+Parametri!$A$2+(Parametri!$A$5/2)</f>
        <v>0</v>
      </c>
      <c r="G123">
        <f>(B123-Parametri!$A$8)-(Dati!A123-Parametri!$A$11)+Parametri!$A$2</f>
        <v>0</v>
      </c>
      <c r="H123">
        <f t="shared" si="1"/>
        <v>0.11547005383792516</v>
      </c>
      <c r="I123">
        <f>Parametri!$D$8</f>
        <v>0.11547005383792516</v>
      </c>
    </row>
    <row r="124" spans="4:9" x14ac:dyDescent="0.3">
      <c r="D124" cm="1">
        <f t="array" ref="D124">IF(C124=0, B124, MEAN(B124:C124))</f>
        <v>0</v>
      </c>
      <c r="E124">
        <f>IF(C124=0, Parametri!$D$8, ABS(B124-C124)/(2*SQRT(3)))</f>
        <v>0.11547005383792516</v>
      </c>
      <c r="F124">
        <f>(A124-Parametri!$A$11)+Parametri!$A$2+(Parametri!$A$5/2)</f>
        <v>0</v>
      </c>
      <c r="G124">
        <f>(B124-Parametri!$A$8)-(Dati!A124-Parametri!$A$11)+Parametri!$A$2</f>
        <v>0</v>
      </c>
      <c r="H124">
        <f t="shared" si="1"/>
        <v>0.11547005383792516</v>
      </c>
      <c r="I124">
        <f>Parametri!$D$8</f>
        <v>0.11547005383792516</v>
      </c>
    </row>
    <row r="125" spans="4:9" x14ac:dyDescent="0.3">
      <c r="D125" cm="1">
        <f t="array" ref="D125">IF(C125=0, B125, MEAN(B125:C125))</f>
        <v>0</v>
      </c>
      <c r="E125">
        <f>IF(C125=0, Parametri!$D$8, ABS(B125-C125)/(2*SQRT(3)))</f>
        <v>0.11547005383792516</v>
      </c>
      <c r="F125">
        <f>(A125-Parametri!$A$11)+Parametri!$A$2+(Parametri!$A$5/2)</f>
        <v>0</v>
      </c>
      <c r="G125">
        <f>(B125-Parametri!$A$8)-(Dati!A125-Parametri!$A$11)+Parametri!$A$2</f>
        <v>0</v>
      </c>
      <c r="H125">
        <f t="shared" si="1"/>
        <v>0.11547005383792516</v>
      </c>
      <c r="I125">
        <f>Parametri!$D$8</f>
        <v>0.11547005383792516</v>
      </c>
    </row>
    <row r="126" spans="4:9" x14ac:dyDescent="0.3">
      <c r="D126" cm="1">
        <f t="array" ref="D126">IF(C126=0, B126, MEAN(B126:C126))</f>
        <v>0</v>
      </c>
      <c r="E126">
        <f>IF(C126=0, Parametri!$D$8, ABS(B126-C126)/(2*SQRT(3)))</f>
        <v>0.11547005383792516</v>
      </c>
      <c r="F126">
        <f>(A126-Parametri!$A$11)+Parametri!$A$2+(Parametri!$A$5/2)</f>
        <v>0</v>
      </c>
      <c r="G126">
        <f>(B126-Parametri!$A$8)-(Dati!A126-Parametri!$A$11)+Parametri!$A$2</f>
        <v>0</v>
      </c>
      <c r="H126">
        <f t="shared" si="1"/>
        <v>0.11547005383792516</v>
      </c>
      <c r="I126">
        <f>Parametri!$D$8</f>
        <v>0.11547005383792516</v>
      </c>
    </row>
    <row r="127" spans="4:9" x14ac:dyDescent="0.3">
      <c r="D127" cm="1">
        <f t="array" ref="D127">IF(C127=0, B127, MEAN(B127:C127))</f>
        <v>0</v>
      </c>
      <c r="E127">
        <f>IF(C127=0, Parametri!$D$8, ABS(B127-C127)/(2*SQRT(3)))</f>
        <v>0.11547005383792516</v>
      </c>
      <c r="F127">
        <f>(A127-Parametri!$A$11)+Parametri!$A$2+(Parametri!$A$5/2)</f>
        <v>0</v>
      </c>
      <c r="G127">
        <f>(B127-Parametri!$A$8)-(Dati!A127-Parametri!$A$11)+Parametri!$A$2</f>
        <v>0</v>
      </c>
      <c r="H127">
        <f t="shared" si="1"/>
        <v>0.11547005383792516</v>
      </c>
      <c r="I127">
        <f>Parametri!$D$8</f>
        <v>0.11547005383792516</v>
      </c>
    </row>
    <row r="128" spans="4:9" x14ac:dyDescent="0.3">
      <c r="D128" cm="1">
        <f t="array" ref="D128">IF(C128=0, B128, MEAN(B128:C128))</f>
        <v>0</v>
      </c>
      <c r="E128">
        <f>IF(C128=0, Parametri!$D$8, ABS(B128-C128)/(2*SQRT(3)))</f>
        <v>0.11547005383792516</v>
      </c>
      <c r="F128">
        <f>(A128-Parametri!$A$11)+Parametri!$A$2+(Parametri!$A$5/2)</f>
        <v>0</v>
      </c>
      <c r="G128">
        <f>(B128-Parametri!$A$8)-(Dati!A128-Parametri!$A$11)+Parametri!$A$2</f>
        <v>0</v>
      </c>
      <c r="H128">
        <f t="shared" si="1"/>
        <v>0.11547005383792516</v>
      </c>
      <c r="I128">
        <f>Parametri!$D$8</f>
        <v>0.11547005383792516</v>
      </c>
    </row>
    <row r="129" spans="4:9" x14ac:dyDescent="0.3">
      <c r="D129" cm="1">
        <f t="array" ref="D129">IF(C129=0, B129, MEAN(B129:C129))</f>
        <v>0</v>
      </c>
      <c r="E129">
        <f>IF(C129=0, Parametri!$D$8, ABS(B129-C129)/(2*SQRT(3)))</f>
        <v>0.11547005383792516</v>
      </c>
      <c r="F129">
        <f>(A129-Parametri!$A$11)+Parametri!$A$2+(Parametri!$A$5/2)</f>
        <v>0</v>
      </c>
      <c r="G129">
        <f>(B129-Parametri!$A$8)-(Dati!A129-Parametri!$A$11)+Parametri!$A$2</f>
        <v>0</v>
      </c>
      <c r="H129">
        <f t="shared" si="1"/>
        <v>0.11547005383792516</v>
      </c>
      <c r="I129">
        <f>Parametri!$D$8</f>
        <v>0.11547005383792516</v>
      </c>
    </row>
    <row r="130" spans="4:9" x14ac:dyDescent="0.3">
      <c r="D130" cm="1">
        <f t="array" ref="D130">IF(C130=0, B130, MEAN(B130:C130))</f>
        <v>0</v>
      </c>
      <c r="E130">
        <f>IF(C130=0, Parametri!$D$8, ABS(B130-C130)/(2*SQRT(3)))</f>
        <v>0.11547005383792516</v>
      </c>
      <c r="F130">
        <f>(A130-Parametri!$A$11)+Parametri!$A$2+(Parametri!$A$5/2)</f>
        <v>0</v>
      </c>
      <c r="G130">
        <f>(B130-Parametri!$A$8)-(Dati!A130-Parametri!$A$11)+Parametri!$A$2</f>
        <v>0</v>
      </c>
      <c r="H130">
        <f t="shared" si="1"/>
        <v>0.11547005383792516</v>
      </c>
      <c r="I130">
        <f>Parametri!$D$8</f>
        <v>0.11547005383792516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Parametri</vt:lpstr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mirolo</dc:creator>
  <cp:lastModifiedBy>MIROLO MANUELE [SM2001968]</cp:lastModifiedBy>
  <dcterms:created xsi:type="dcterms:W3CDTF">2015-06-05T18:17:20Z</dcterms:created>
  <dcterms:modified xsi:type="dcterms:W3CDTF">2026-10-14T12:20:15Z</dcterms:modified>
</cp:coreProperties>
</file>