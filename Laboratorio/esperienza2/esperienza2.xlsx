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Parametri"/>
    <sheet r:id="rId2" sheetId="2" name="Dati (2)"/>
    <sheet r:id="rId3" sheetId="3" name="Dati"/>
  </sheets>
  <calcPr fullCalcOnLoad="1"/>
</workbook>
</file>

<file path=xl/sharedStrings.xml><?xml version="1.0" encoding="utf-8"?>
<sst xmlns="http://schemas.openxmlformats.org/spreadsheetml/2006/main" count="34" uniqueCount="23">
  <si>
    <t>x</t>
  </si>
  <si>
    <t>y_min</t>
  </si>
  <si>
    <t>y_max</t>
  </si>
  <si>
    <t>y_max2</t>
  </si>
  <si>
    <t>y</t>
  </si>
  <si>
    <t>sigma_y</t>
  </si>
  <si>
    <t>p</t>
  </si>
  <si>
    <t>q</t>
  </si>
  <si>
    <t>sigma_p</t>
  </si>
  <si>
    <t>sigma_q</t>
  </si>
  <si>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</si>
  <si>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</si>
  <si>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</si>
  <si>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</si>
  <si>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</si>
  <si>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</si>
  <si>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</si>
  <si>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</si>
  <si>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</si>
  <si>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x_0</t>
  </si>
  <si>
    <t>err_x0</t>
  </si>
  <si>
    <t>sigma_x0</t>
  </si>
  <si>
    <t>sigma_x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</si>
</sst>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xfId="0" numFmtId="0" borderId="0" fontId="0" fillId="0"/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1"/>
  <sheetViews>
    <sheetView workbookViewId="0"/>
  </sheetViews>
  <sheetFormatPr defaultRowHeight="15" x14ac:dyDescent="0.25"/>
  <cols>
    <col min="1" max="1" style="8" width="12.43357142857143" customWidth="1" bestFit="1"/>
    <col min="2" max="2" style="9" width="12.43357142857143" customWidth="1" bestFit="1"/>
    <col min="3" max="3" style="9" width="12.43357142857143" customWidth="1" bestFit="1"/>
    <col min="4" max="4" style="9" width="12.43357142857143" customWidth="1" bestFit="1"/>
  </cols>
  <sheetData>
    <row x14ac:dyDescent="0.25" r="1" customHeight="1" ht="17.25">
      <c r="A1" s="14" t="s">
        <v>10</v>
      </c>
      <c r="B1" s="15" t="s">
        <v>11</v>
      </c>
      <c r="C1" s="15" t="s">
        <v>12</v>
      </c>
      <c r="D1" s="3"/>
    </row>
    <row x14ac:dyDescent="0.25" r="2" customHeight="1" ht="17.25">
      <c r="A2" s="14"/>
      <c r="B2" s="15"/>
      <c r="C2" s="15"/>
      <c r="D2" s="3"/>
    </row>
    <row x14ac:dyDescent="0.25" r="3" customHeight="1" ht="17.25">
      <c r="A3" s="2"/>
      <c r="B3" s="3"/>
      <c r="C3" s="3"/>
      <c r="D3" s="3"/>
    </row>
    <row x14ac:dyDescent="0.25" r="4" customHeight="1" ht="17.25">
      <c r="A4" s="14" t="s">
        <v>13</v>
      </c>
      <c r="B4" s="15" t="s">
        <v>14</v>
      </c>
      <c r="C4" s="15" t="s">
        <v>15</v>
      </c>
      <c r="D4" s="3"/>
    </row>
    <row x14ac:dyDescent="0.25" r="5" customHeight="1" ht="17.25">
      <c r="A5" s="14"/>
      <c r="B5" s="15"/>
      <c r="C5" s="15"/>
      <c r="D5" s="3"/>
    </row>
    <row x14ac:dyDescent="0.25" r="6" customHeight="1" ht="17.25">
      <c r="A6" s="2"/>
      <c r="B6" s="3"/>
      <c r="C6" s="3"/>
      <c r="D6" s="3"/>
    </row>
    <row x14ac:dyDescent="0.25" r="7" customHeight="1" ht="17.25">
      <c r="A7" s="14" t="s">
        <v>16</v>
      </c>
      <c r="B7" s="15" t="s">
        <v>17</v>
      </c>
      <c r="C7" s="15" t="s">
        <v>18</v>
      </c>
      <c r="D7" s="15" t="s">
        <v>5</v>
      </c>
    </row>
    <row x14ac:dyDescent="0.25" r="8" customHeight="1" ht="17.25">
      <c r="A8" s="14"/>
      <c r="B8" s="16">
        <v>0.2</v>
      </c>
      <c r="C8" s="16">
        <f>B8/SQRT(3)</f>
      </c>
      <c r="D8" s="16">
        <f>B8/SQRT(3)</f>
      </c>
    </row>
    <row x14ac:dyDescent="0.25" r="9" customHeight="1" ht="17.25">
      <c r="A9" s="2"/>
      <c r="B9" s="3"/>
      <c r="C9" s="3"/>
      <c r="D9" s="3"/>
    </row>
    <row x14ac:dyDescent="0.25" r="10" customHeight="1" ht="17.25">
      <c r="A10" s="14" t="s">
        <v>19</v>
      </c>
      <c r="B10" s="15" t="s">
        <v>20</v>
      </c>
      <c r="C10" s="15" t="s">
        <v>21</v>
      </c>
      <c r="D10" s="15" t="s">
        <v>22</v>
      </c>
    </row>
    <row x14ac:dyDescent="0.25" r="11" customHeight="1" ht="17.25">
      <c r="A11" s="14"/>
      <c r="B11" s="16">
        <v>0.2</v>
      </c>
      <c r="C11" s="16">
        <f>B11/SQRT(3)</f>
      </c>
      <c r="D11" s="16">
        <f>B11/SQRT(3)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30"/>
  <sheetViews>
    <sheetView workbookViewId="0" tabSelected="1"/>
  </sheetViews>
  <sheetFormatPr defaultRowHeight="15" x14ac:dyDescent="0.25"/>
  <cols>
    <col min="1" max="1" style="12" width="12.43357142857143" customWidth="1" bestFit="1"/>
    <col min="2" max="2" style="8" width="12.43357142857143" customWidth="1" bestFit="1"/>
    <col min="3" max="3" style="8" width="12.43357142857143" customWidth="1" bestFit="1"/>
    <col min="4" max="4" style="13" width="12.43357142857143" customWidth="1" bestFit="1"/>
    <col min="5" max="5" style="12" width="12.43357142857143" customWidth="1" bestFit="1"/>
    <col min="6" max="6" style="12" width="12.43357142857143" customWidth="1" bestFit="1"/>
    <col min="7" max="7" style="12" width="12.43357142857143" customWidth="1" bestFit="1"/>
    <col min="8" max="8" style="12" width="12.43357142857143" customWidth="1" bestFit="1"/>
    <col min="9" max="9" style="12" width="12.43357142857143" customWidth="1" bestFit="1"/>
    <col min="10" max="10" style="12" width="12.43357142857143" customWidth="1" bestFit="1"/>
  </cols>
  <sheetData>
    <row x14ac:dyDescent="0.25" r="1" customHeight="1" ht="17.25">
      <c r="A1" s="10" t="s">
        <v>0</v>
      </c>
      <c r="B1" s="2" t="s">
        <v>1</v>
      </c>
      <c r="C1" s="2" t="s">
        <v>2</v>
      </c>
      <c r="D1" s="11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</row>
    <row x14ac:dyDescent="0.25" r="2" customHeight="1" ht="17.25">
      <c r="A2" s="4">
        <v>270</v>
      </c>
      <c r="B2" s="2"/>
      <c r="C2" s="2"/>
      <c r="D2" s="5">
        <f>B2+2*E2</f>
      </c>
      <c r="E2" s="6">
        <v>1975</v>
      </c>
      <c r="F2" s="6">
        <f>IF(C2=0, Parametri!$D$8, ABS(B2-C2)/(2*SQRT(3)))</f>
      </c>
      <c r="G2" s="6">
        <f>(A2-335)+135.8+(Parametri!$A$5/2)</f>
      </c>
      <c r="H2" s="6">
        <f>(E2-192)-('Dati (2)'!A2-Parametri!$A$11)+Parametri!$A$2</f>
      </c>
      <c r="I2" s="6">
        <f>F2</f>
      </c>
      <c r="J2" s="6">
        <f>Parametri!$D$8</f>
      </c>
    </row>
    <row x14ac:dyDescent="0.25" r="3" customHeight="1" ht="17.25">
      <c r="A3" s="4">
        <f>A2+1</f>
      </c>
      <c r="B3" s="2"/>
      <c r="C3" s="2"/>
      <c r="D3" s="5">
        <f>B3+2*E3</f>
      </c>
      <c r="E3" s="6">
        <v>1975</v>
      </c>
      <c r="F3" s="6">
        <f>IF(C3=0, Parametri!$D$8, ABS(B3-C3)/(2*SQRT(3)))</f>
      </c>
      <c r="G3" s="6">
        <f>(A3-335)+135.8+(Parametri!$A$5/2)</f>
      </c>
      <c r="H3" s="6">
        <f>(E3-192)-('Dati (2)'!A3-Parametri!$A$11)+Parametri!$A$2</f>
      </c>
      <c r="I3" s="6">
        <f>F3</f>
      </c>
      <c r="J3" s="6">
        <f>Parametri!$D$8</f>
      </c>
    </row>
    <row x14ac:dyDescent="0.25" r="4" customHeight="1" ht="17.25">
      <c r="A4" s="4">
        <f>A3+1</f>
      </c>
      <c r="B4" s="2"/>
      <c r="C4" s="2"/>
      <c r="D4" s="5">
        <f>B4+2*E4</f>
      </c>
      <c r="E4" s="6">
        <v>1912</v>
      </c>
      <c r="F4" s="6">
        <f>IF(C4=0, Parametri!$D$8, ABS(B4-C4)/(2*SQRT(3)))</f>
      </c>
      <c r="G4" s="6">
        <f>(A4-335)+135.8+(Parametri!$A$5/2)</f>
      </c>
      <c r="H4" s="6">
        <f>(E4-192)-('Dati (2)'!A4-Parametri!$A$11)+Parametri!$A$2</f>
      </c>
      <c r="I4" s="6">
        <f>F4</f>
      </c>
      <c r="J4" s="6">
        <f>Parametri!$D$8</f>
      </c>
    </row>
    <row x14ac:dyDescent="0.25" r="5" customHeight="1" ht="17.25">
      <c r="A5" s="4">
        <f>A4+1</f>
      </c>
      <c r="B5" s="2"/>
      <c r="C5" s="2"/>
      <c r="D5" s="5">
        <f>B5+2*E5</f>
      </c>
      <c r="E5" s="6">
        <v>1893</v>
      </c>
      <c r="F5" s="6">
        <f>IF(C5=0, Parametri!$D$8, ABS(B5-C5)/(2*SQRT(3)))</f>
      </c>
      <c r="G5" s="6">
        <f>(A5-335)+135.8+(Parametri!$A$5/2)</f>
      </c>
      <c r="H5" s="6">
        <f>(E5-192)-('Dati (2)'!A5-Parametri!$A$11)+Parametri!$A$2</f>
      </c>
      <c r="I5" s="6">
        <f>F5</f>
      </c>
      <c r="J5" s="6">
        <f>Parametri!$D$8</f>
      </c>
    </row>
    <row x14ac:dyDescent="0.25" r="6" customHeight="1" ht="17.25">
      <c r="A6" s="4">
        <f>A5+1</f>
      </c>
      <c r="B6" s="2"/>
      <c r="C6" s="2"/>
      <c r="D6" s="5">
        <f>B6+2*E6</f>
      </c>
      <c r="E6" s="6">
        <v>1817</v>
      </c>
      <c r="F6" s="6">
        <f>IF(C6=0, Parametri!$D$8, ABS(B6-C6)/(2*SQRT(3)))</f>
      </c>
      <c r="G6" s="6">
        <f>(A6-335)+135.8+(Parametri!$A$5/2)</f>
      </c>
      <c r="H6" s="6">
        <f>(E6-192)-('Dati (2)'!A6-Parametri!$A$11)+Parametri!$A$2</f>
      </c>
      <c r="I6" s="6">
        <f>F6</f>
      </c>
      <c r="J6" s="6">
        <f>Parametri!$D$8</f>
      </c>
    </row>
    <row x14ac:dyDescent="0.25" r="7" customHeight="1" ht="17.25">
      <c r="A7" s="4">
        <f>A6+1</f>
      </c>
      <c r="B7" s="2"/>
      <c r="C7" s="2"/>
      <c r="D7" s="5">
        <f>B7+2*E7</f>
      </c>
      <c r="E7" s="6">
        <v>1783</v>
      </c>
      <c r="F7" s="6">
        <f>IF(C7=0, Parametri!$D$8, ABS(B7-C7)/(2*SQRT(3)))</f>
      </c>
      <c r="G7" s="6">
        <f>(A7-335)+135.8+(Parametri!$A$5/2)</f>
      </c>
      <c r="H7" s="6">
        <f>(E7-192)-('Dati (2)'!A7-Parametri!$A$11)+Parametri!$A$2</f>
      </c>
      <c r="I7" s="6">
        <f>F7</f>
      </c>
      <c r="J7" s="6">
        <f>Parametri!$D$8</f>
      </c>
    </row>
    <row x14ac:dyDescent="0.25" r="8" customHeight="1" ht="17.25">
      <c r="A8" s="4">
        <f>A7+1</f>
      </c>
      <c r="B8" s="2"/>
      <c r="C8" s="2"/>
      <c r="D8" s="5">
        <f>B8+2*E8</f>
      </c>
      <c r="E8" s="6">
        <v>1723.5</v>
      </c>
      <c r="F8" s="6">
        <f>IF(C8=0, Parametri!$D$8, ABS(B8-C8)/(2*SQRT(3)))</f>
      </c>
      <c r="G8" s="6">
        <f>(A8-335)+135.8+(Parametri!$A$5/2)</f>
      </c>
      <c r="H8" s="6">
        <f>(E8-192)-('Dati (2)'!A8-Parametri!$A$11)+Parametri!$A$2</f>
      </c>
      <c r="I8" s="6">
        <f>F8</f>
      </c>
      <c r="J8" s="6">
        <f>Parametri!$D$8</f>
      </c>
    </row>
    <row x14ac:dyDescent="0.25" r="9" customHeight="1" ht="17.25">
      <c r="A9" s="4">
        <f>A8+1</f>
      </c>
      <c r="B9" s="2"/>
      <c r="C9" s="2"/>
      <c r="D9" s="5">
        <f>B9+2*E9</f>
      </c>
      <c r="E9" s="6">
        <v>1676</v>
      </c>
      <c r="F9" s="6">
        <f>IF(C9=0, Parametri!$D$8, ABS(B9-C9)/(2*SQRT(3)))</f>
      </c>
      <c r="G9" s="6">
        <f>(A9-335)+135.8+(Parametri!$A$5/2)</f>
      </c>
      <c r="H9" s="6">
        <f>(E9-192)-('Dati (2)'!A9-Parametri!$A$11)+Parametri!$A$2</f>
      </c>
      <c r="I9" s="6">
        <f>F9</f>
      </c>
      <c r="J9" s="6">
        <f>Parametri!$D$8</f>
      </c>
    </row>
    <row x14ac:dyDescent="0.25" r="10" customHeight="1" ht="17.25">
      <c r="A10" s="4">
        <f>A9+1</f>
      </c>
      <c r="B10" s="2"/>
      <c r="C10" s="2"/>
      <c r="D10" s="5">
        <f>B10+2*E10</f>
      </c>
      <c r="E10" s="6">
        <v>1660</v>
      </c>
      <c r="F10" s="6">
        <f>IF(C10=0, Parametri!$D$8, ABS(B10-C10)/(2*SQRT(3)))</f>
      </c>
      <c r="G10" s="6">
        <f>(A10-335)+135.8+(Parametri!$A$5/2)</f>
      </c>
      <c r="H10" s="6">
        <f>(E10-192)-('Dati (2)'!A10-Parametri!$A$11)+Parametri!$A$2</f>
      </c>
      <c r="I10" s="6">
        <f>F10</f>
      </c>
      <c r="J10" s="6">
        <f>Parametri!$D$8</f>
      </c>
    </row>
    <row x14ac:dyDescent="0.25" r="11" customHeight="1" ht="17.25">
      <c r="A11" s="4">
        <f>A10+1</f>
      </c>
      <c r="B11" s="2"/>
      <c r="C11" s="2"/>
      <c r="D11" s="5">
        <f>B11+2*E11</f>
      </c>
      <c r="E11" s="6">
        <v>1615.5</v>
      </c>
      <c r="F11" s="6">
        <f>IF(C11=0, Parametri!$D$8, ABS(B11-C11)/(2*SQRT(3)))</f>
      </c>
      <c r="G11" s="6">
        <f>(A11-335)+135.8+(Parametri!$A$5/2)</f>
      </c>
      <c r="H11" s="6">
        <f>(E11-192)-('Dati (2)'!A11-Parametri!$A$11)+Parametri!$A$2</f>
      </c>
      <c r="I11" s="6">
        <f>F11</f>
      </c>
      <c r="J11" s="6">
        <f>Parametri!$D$8</f>
      </c>
    </row>
    <row x14ac:dyDescent="0.25" r="12" customHeight="1" ht="17.25">
      <c r="A12" s="4">
        <f>A11+1</f>
      </c>
      <c r="B12" s="2"/>
      <c r="C12" s="2"/>
      <c r="D12" s="5">
        <f>B12+2*E12</f>
      </c>
      <c r="E12" s="6">
        <v>1581.5</v>
      </c>
      <c r="F12" s="6">
        <f>IF(C12=0, Parametri!$D$8, ABS(B12-C12)/(2*SQRT(3)))</f>
      </c>
      <c r="G12" s="6">
        <f>(A12-335)+135.8+(Parametri!$A$5/2)</f>
      </c>
      <c r="H12" s="6">
        <f>(E12-192)-('Dati (2)'!A12-Parametri!$A$11)+Parametri!$A$2</f>
      </c>
      <c r="I12" s="6">
        <f>F12</f>
      </c>
      <c r="J12" s="6">
        <f>Parametri!$D$8</f>
      </c>
    </row>
    <row x14ac:dyDescent="0.25" r="13" customHeight="1" ht="17.25">
      <c r="A13" s="4">
        <f>A12+1</f>
      </c>
      <c r="B13" s="2"/>
      <c r="C13" s="2"/>
      <c r="D13" s="5">
        <f>B13+2*E13</f>
      </c>
      <c r="E13" s="6">
        <v>1561</v>
      </c>
      <c r="F13" s="6">
        <f>IF(C13=0, Parametri!$D$8, ABS(B13-C13)/(2*SQRT(3)))</f>
      </c>
      <c r="G13" s="6">
        <f>(A13-335)+135.8+(Parametri!$A$5/2)</f>
      </c>
      <c r="H13" s="6">
        <f>(E13-192)-('Dati (2)'!A13-Parametri!$A$11)+Parametri!$A$2</f>
      </c>
      <c r="I13" s="6">
        <f>F13</f>
      </c>
      <c r="J13" s="6">
        <f>Parametri!$D$8</f>
      </c>
    </row>
    <row x14ac:dyDescent="0.25" r="14" customHeight="1" ht="17.25">
      <c r="A14" s="4">
        <f>A13+1</f>
      </c>
      <c r="B14" s="2"/>
      <c r="C14" s="2"/>
      <c r="D14" s="5">
        <f>B14+2*E14</f>
      </c>
      <c r="E14" s="6">
        <v>1533.5</v>
      </c>
      <c r="F14" s="6">
        <f>IF(C14=0, Parametri!$D$8, ABS(B14-C14)/(2*SQRT(3)))</f>
      </c>
      <c r="G14" s="6">
        <f>(A14-335)+135.8+(Parametri!$A$5/2)</f>
      </c>
      <c r="H14" s="6">
        <f>(E14-192)-('Dati (2)'!A14-Parametri!$A$11)+Parametri!$A$2</f>
      </c>
      <c r="I14" s="6">
        <f>F14</f>
      </c>
      <c r="J14" s="6">
        <f>Parametri!$D$8</f>
      </c>
    </row>
    <row x14ac:dyDescent="0.25" r="15" customHeight="1" ht="17.25">
      <c r="A15" s="4">
        <f>A14+1</f>
      </c>
      <c r="B15" s="2"/>
      <c r="C15" s="2"/>
      <c r="D15" s="5">
        <f>B15+2*E15</f>
      </c>
      <c r="E15" s="6">
        <v>1510.5</v>
      </c>
      <c r="F15" s="6">
        <f>IF(C15=0, Parametri!$D$8, ABS(B15-C15)/(2*SQRT(3)))</f>
      </c>
      <c r="G15" s="6">
        <f>(A15-335)+135.8+(Parametri!$A$5/2)</f>
      </c>
      <c r="H15" s="6">
        <f>(E15-192)-('Dati (2)'!A15-Parametri!$A$11)+Parametri!$A$2</f>
      </c>
      <c r="I15" s="6">
        <f>F15</f>
      </c>
      <c r="J15" s="6">
        <f>Parametri!$D$8</f>
      </c>
    </row>
    <row x14ac:dyDescent="0.25" r="16" customHeight="1" ht="17.25">
      <c r="A16" s="4">
        <f>A15+1</f>
      </c>
      <c r="B16" s="2"/>
      <c r="C16" s="2"/>
      <c r="D16" s="5">
        <f>B16+2*E16</f>
      </c>
      <c r="E16" s="6">
        <v>1486.5</v>
      </c>
      <c r="F16" s="6">
        <f>IF(C16=0, Parametri!$D$8, ABS(B16-C16)/(2*SQRT(3)))</f>
      </c>
      <c r="G16" s="6">
        <f>(A16-335)+135.8+(Parametri!$A$5/2)</f>
      </c>
      <c r="H16" s="6">
        <f>(E16-192)-('Dati (2)'!A16-Parametri!$A$11)+Parametri!$A$2</f>
      </c>
      <c r="I16" s="6">
        <f>F16</f>
      </c>
      <c r="J16" s="6">
        <f>Parametri!$D$8</f>
      </c>
    </row>
    <row x14ac:dyDescent="0.25" r="17" customHeight="1" ht="17.25">
      <c r="A17" s="4">
        <f>A16+1</f>
      </c>
      <c r="B17" s="2"/>
      <c r="C17" s="2"/>
      <c r="D17" s="5">
        <f>B17+2*E17</f>
      </c>
      <c r="E17" s="6">
        <v>1462</v>
      </c>
      <c r="F17" s="6">
        <f>IF(C17=0, Parametri!$D$8, ABS(B17-C17)/(2*SQRT(3)))</f>
      </c>
      <c r="G17" s="6">
        <f>(A17-335)+135.8+(Parametri!$A$5/2)</f>
      </c>
      <c r="H17" s="6">
        <f>(E17-192)-('Dati (2)'!A17-Parametri!$A$11)+Parametri!$A$2</f>
      </c>
      <c r="I17" s="6">
        <f>F17</f>
      </c>
      <c r="J17" s="6">
        <f>Parametri!$D$8</f>
      </c>
    </row>
    <row x14ac:dyDescent="0.25" r="18" customHeight="1" ht="17.25">
      <c r="A18" s="4">
        <f>A17+1</f>
      </c>
      <c r="B18" s="2"/>
      <c r="C18" s="2"/>
      <c r="D18" s="5">
        <f>B18+2*E18</f>
      </c>
      <c r="E18" s="6">
        <v>1442.5</v>
      </c>
      <c r="F18" s="6">
        <f>IF(C18=0, Parametri!$D$8, ABS(B18-C18)/(2*SQRT(3)))</f>
      </c>
      <c r="G18" s="6">
        <f>(A18-335)+135.8+(Parametri!$A$5/2)</f>
      </c>
      <c r="H18" s="6">
        <f>(E18-192)-('Dati (2)'!A18-Parametri!$A$11)+Parametri!$A$2</f>
      </c>
      <c r="I18" s="6">
        <f>F18</f>
      </c>
      <c r="J18" s="6">
        <f>Parametri!$D$8</f>
      </c>
    </row>
    <row x14ac:dyDescent="0.25" r="19" customHeight="1" ht="17.25">
      <c r="A19" s="4">
        <f>A18+1</f>
      </c>
      <c r="B19" s="2"/>
      <c r="C19" s="2"/>
      <c r="D19" s="5">
        <f>B19+2*E19</f>
      </c>
      <c r="E19" s="6">
        <v>1421</v>
      </c>
      <c r="F19" s="6">
        <f>IF(C19=0, Parametri!$D$8, ABS(B19-C19)/(2*SQRT(3)))</f>
      </c>
      <c r="G19" s="6">
        <f>(A19-335)+135.8+(Parametri!$A$5/2)</f>
      </c>
      <c r="H19" s="6">
        <f>(E19-192)-('Dati (2)'!A19-Parametri!$A$11)+Parametri!$A$2</f>
      </c>
      <c r="I19" s="6">
        <f>F19</f>
      </c>
      <c r="J19" s="6">
        <f>Parametri!$D$8</f>
      </c>
    </row>
    <row x14ac:dyDescent="0.25" r="20" customHeight="1" ht="17.25">
      <c r="A20" s="4">
        <f>A19+1</f>
      </c>
      <c r="B20" s="2"/>
      <c r="C20" s="2"/>
      <c r="D20" s="5">
        <f>B20+2*E20</f>
      </c>
      <c r="E20" s="6">
        <v>1408.5</v>
      </c>
      <c r="F20" s="6">
        <f>IF(C20=0, Parametri!$D$8, ABS(B20-C20)/(2*SQRT(3)))</f>
      </c>
      <c r="G20" s="6">
        <f>(A20-335)+135.8+(Parametri!$A$5/2)</f>
      </c>
      <c r="H20" s="6">
        <f>(E20-192)-('Dati (2)'!A20-Parametri!$A$11)+Parametri!$A$2</f>
      </c>
      <c r="I20" s="6">
        <f>F20</f>
      </c>
      <c r="J20" s="6">
        <f>Parametri!$D$8</f>
      </c>
    </row>
    <row x14ac:dyDescent="0.25" r="21" customHeight="1" ht="17.25">
      <c r="A21" s="4">
        <f>A20+1</f>
      </c>
      <c r="B21" s="2"/>
      <c r="C21" s="2"/>
      <c r="D21" s="5">
        <f>B21+2*E21</f>
      </c>
      <c r="E21" s="6">
        <v>1380</v>
      </c>
      <c r="F21" s="6">
        <f>IF(C21=0, Parametri!$D$8, ABS(B21-C21)/(2*SQRT(3)))</f>
      </c>
      <c r="G21" s="6">
        <f>(A21-335)+135.8+(Parametri!$A$5/2)</f>
      </c>
      <c r="H21" s="6">
        <f>(E21-192)-('Dati (2)'!A21-Parametri!$A$11)+Parametri!$A$2</f>
      </c>
      <c r="I21" s="6">
        <f>F21</f>
      </c>
      <c r="J21" s="6">
        <f>Parametri!$D$8</f>
      </c>
    </row>
    <row x14ac:dyDescent="0.25" r="22" customHeight="1" ht="17.25">
      <c r="A22" s="4">
        <f>A21+1</f>
      </c>
      <c r="B22" s="2"/>
      <c r="C22" s="2"/>
      <c r="D22" s="5">
        <f>B22+2*E22</f>
      </c>
      <c r="E22" s="6">
        <v>1373.5</v>
      </c>
      <c r="F22" s="6">
        <f>IF(C22=0, Parametri!$D$8, ABS(B22-C22)/(2*SQRT(3)))</f>
      </c>
      <c r="G22" s="6">
        <f>(A22-335)+135.8+(Parametri!$A$5/2)</f>
      </c>
      <c r="H22" s="6">
        <f>(E22-192)-('Dati (2)'!A22-Parametri!$A$11)+Parametri!$A$2</f>
      </c>
      <c r="I22" s="6">
        <f>F22</f>
      </c>
      <c r="J22" s="6">
        <f>Parametri!$D$8</f>
      </c>
    </row>
    <row x14ac:dyDescent="0.25" r="23" customHeight="1" ht="17.25">
      <c r="A23" s="4">
        <f>A22+1</f>
      </c>
      <c r="B23" s="2"/>
      <c r="C23" s="2"/>
      <c r="D23" s="5">
        <f>B23+2*E23</f>
      </c>
      <c r="E23" s="6">
        <v>1349</v>
      </c>
      <c r="F23" s="6">
        <f>IF(C23=0, Parametri!$D$8, ABS(B23-C23)/(2*SQRT(3)))</f>
      </c>
      <c r="G23" s="6">
        <f>(A23-335)+135.8+(Parametri!$A$5/2)</f>
      </c>
      <c r="H23" s="6">
        <f>(E23-192)-('Dati (2)'!A23-Parametri!$A$11)+Parametri!$A$2</f>
      </c>
      <c r="I23" s="6">
        <f>F23</f>
      </c>
      <c r="J23" s="6">
        <f>Parametri!$D$8</f>
      </c>
    </row>
    <row x14ac:dyDescent="0.25" r="24" customHeight="1" ht="17.25">
      <c r="A24" s="4">
        <f>A23+1</f>
      </c>
      <c r="B24" s="2"/>
      <c r="C24" s="2"/>
      <c r="D24" s="5">
        <f>B24+2*E24</f>
      </c>
      <c r="E24" s="6">
        <v>1333.5</v>
      </c>
      <c r="F24" s="6">
        <f>IF(C24=0, Parametri!$D$8, ABS(B24-C24)/(2*SQRT(3)))</f>
      </c>
      <c r="G24" s="6">
        <f>(A24-335)+135.8+(Parametri!$A$5/2)</f>
      </c>
      <c r="H24" s="6">
        <f>(E24-192)-('Dati (2)'!A24-Parametri!$A$11)+Parametri!$A$2</f>
      </c>
      <c r="I24" s="6">
        <f>F24</f>
      </c>
      <c r="J24" s="6">
        <f>Parametri!$D$8</f>
      </c>
    </row>
    <row x14ac:dyDescent="0.25" r="25" customHeight="1" ht="17.25">
      <c r="A25" s="4">
        <f>A24+1</f>
      </c>
      <c r="B25" s="2"/>
      <c r="C25" s="2"/>
      <c r="D25" s="5">
        <f>B25+2*E25</f>
      </c>
      <c r="E25" s="6">
        <v>1312.5</v>
      </c>
      <c r="F25" s="6">
        <f>IF(C25=0, Parametri!$D$8, ABS(B25-C25)/(2*SQRT(3)))</f>
      </c>
      <c r="G25" s="6">
        <f>(A25-335)+135.8+(Parametri!$A$5/2)</f>
      </c>
      <c r="H25" s="6">
        <f>(E25-192)-('Dati (2)'!A25-Parametri!$A$11)+Parametri!$A$2</f>
      </c>
      <c r="I25" s="6">
        <f>F25</f>
      </c>
      <c r="J25" s="6">
        <f>Parametri!$D$8</f>
      </c>
    </row>
    <row x14ac:dyDescent="0.25" r="26" customHeight="1" ht="17.25">
      <c r="A26" s="4">
        <f>A25+1</f>
      </c>
      <c r="B26" s="2"/>
      <c r="C26" s="2"/>
      <c r="D26" s="5">
        <f>B26+2*E26</f>
      </c>
      <c r="E26" s="6">
        <v>1304</v>
      </c>
      <c r="F26" s="6">
        <f>IF(C26=0, Parametri!$D$8, ABS(B26-C26)/(2*SQRT(3)))</f>
      </c>
      <c r="G26" s="6">
        <f>(A26-335)+135.8+(Parametri!$A$5/2)</f>
      </c>
      <c r="H26" s="6">
        <f>(E26-192)-('Dati (2)'!A26-Parametri!$A$11)+Parametri!$A$2</f>
      </c>
      <c r="I26" s="6">
        <f>F26</f>
      </c>
      <c r="J26" s="6">
        <f>Parametri!$D$8</f>
      </c>
    </row>
    <row x14ac:dyDescent="0.25" r="27" customHeight="1" ht="17.25">
      <c r="A27" s="4">
        <f>A26+1</f>
      </c>
      <c r="B27" s="2"/>
      <c r="C27" s="2"/>
      <c r="D27" s="5">
        <f>B27+2*E27</f>
      </c>
      <c r="E27" s="6">
        <v>1293</v>
      </c>
      <c r="F27" s="6">
        <f>IF(C27=0, Parametri!$D$8, ABS(B27-C27)/(2*SQRT(3)))</f>
      </c>
      <c r="G27" s="6">
        <f>(A27-335)+135.8+(Parametri!$A$5/2)</f>
      </c>
      <c r="H27" s="6">
        <f>(E27-192)-('Dati (2)'!A27-Parametri!$A$11)+Parametri!$A$2</f>
      </c>
      <c r="I27" s="6">
        <f>F27</f>
      </c>
      <c r="J27" s="6">
        <f>Parametri!$D$8</f>
      </c>
    </row>
    <row x14ac:dyDescent="0.25" r="28" customHeight="1" ht="17.25">
      <c r="A28" s="4">
        <f>A27+1</f>
      </c>
      <c r="B28" s="2"/>
      <c r="C28" s="2"/>
      <c r="D28" s="5">
        <f>B28+2*E28</f>
      </c>
      <c r="E28" s="6">
        <v>1274</v>
      </c>
      <c r="F28" s="6">
        <f>IF(C28=0, Parametri!$D$8, ABS(B28-C28)/(2*SQRT(3)))</f>
      </c>
      <c r="G28" s="6">
        <f>(A28-335)+135.8+(Parametri!$A$5/2)</f>
      </c>
      <c r="H28" s="6">
        <f>(E28-192)-('Dati (2)'!A28-Parametri!$A$11)+Parametri!$A$2</f>
      </c>
      <c r="I28" s="6">
        <f>F28</f>
      </c>
      <c r="J28" s="6">
        <f>Parametri!$D$8</f>
      </c>
    </row>
    <row x14ac:dyDescent="0.25" r="29" customHeight="1" ht="17.25">
      <c r="A29" s="4">
        <f>A28+1</f>
      </c>
      <c r="B29" s="2"/>
      <c r="C29" s="2"/>
      <c r="D29" s="5">
        <f>B29+2*E29</f>
      </c>
      <c r="E29" s="6">
        <v>1260</v>
      </c>
      <c r="F29" s="6">
        <f>IF(C29=0, Parametri!$D$8, ABS(B29-C29)/(2*SQRT(3)))</f>
      </c>
      <c r="G29" s="6">
        <f>(A29-335)+135.8+(Parametri!$A$5/2)</f>
      </c>
      <c r="H29" s="6">
        <f>(E29-192)-('Dati (2)'!A29-Parametri!$A$11)+Parametri!$A$2</f>
      </c>
      <c r="I29" s="6">
        <f>F29</f>
      </c>
      <c r="J29" s="6">
        <f>Parametri!$D$8</f>
      </c>
    </row>
    <row x14ac:dyDescent="0.25" r="30" customHeight="1" ht="17.25">
      <c r="A30" s="4">
        <f>A29+1</f>
      </c>
      <c r="B30" s="2"/>
      <c r="C30" s="2"/>
      <c r="D30" s="5">
        <f>B30+2*E30</f>
      </c>
      <c r="E30" s="6">
        <v>1245.5</v>
      </c>
      <c r="F30" s="6">
        <f>IF(C30=0, Parametri!$D$8, ABS(B30-C30)/(2*SQRT(3)))</f>
      </c>
      <c r="G30" s="6">
        <f>(A30-335)+135.8+(Parametri!$A$5/2)</f>
      </c>
      <c r="H30" s="6">
        <f>(E30-192)-('Dati (2)'!A30-Parametri!$A$11)+Parametri!$A$2</f>
      </c>
      <c r="I30" s="6">
        <f>F30</f>
      </c>
      <c r="J30" s="6">
        <f>Parametri!$D$8</f>
      </c>
    </row>
    <row x14ac:dyDescent="0.25" r="31" customHeight="1" ht="17.25">
      <c r="A31" s="4">
        <f>A30+1</f>
      </c>
      <c r="B31" s="2"/>
      <c r="C31" s="2"/>
      <c r="D31" s="5">
        <f>B31+2*E31</f>
      </c>
      <c r="E31" s="6">
        <v>1232</v>
      </c>
      <c r="F31" s="6">
        <f>IF(C31=0, Parametri!$D$8, ABS(B31-C31)/(2*SQRT(3)))</f>
      </c>
      <c r="G31" s="6">
        <f>(A31-335)+135.8+(Parametri!$A$5/2)</f>
      </c>
      <c r="H31" s="6">
        <f>(E31-192)-('Dati (2)'!A31-Parametri!$A$11)+Parametri!$A$2</f>
      </c>
      <c r="I31" s="6">
        <f>F31</f>
      </c>
      <c r="J31" s="6">
        <f>Parametri!$D$8</f>
      </c>
    </row>
    <row x14ac:dyDescent="0.25" r="32" customHeight="1" ht="17.25">
      <c r="A32" s="4">
        <f>A31+1</f>
      </c>
      <c r="B32" s="2"/>
      <c r="C32" s="2"/>
      <c r="D32" s="5">
        <f>B32+2*E32</f>
      </c>
      <c r="E32" s="6">
        <v>1213.5</v>
      </c>
      <c r="F32" s="6">
        <f>IF(C32=0, Parametri!$D$8, ABS(B32-C32)/(2*SQRT(3)))</f>
      </c>
      <c r="G32" s="6">
        <f>(A32-335)+135.8+(Parametri!$A$5/2)</f>
      </c>
      <c r="H32" s="6">
        <f>(E32-192)-('Dati (2)'!A32-Parametri!$A$11)+Parametri!$A$2</f>
      </c>
      <c r="I32" s="6">
        <f>F32</f>
      </c>
      <c r="J32" s="6">
        <f>Parametri!$D$8</f>
      </c>
    </row>
    <row x14ac:dyDescent="0.25" r="33" customHeight="1" ht="17.25">
      <c r="A33" s="4">
        <f>A32+1</f>
      </c>
      <c r="B33" s="2"/>
      <c r="C33" s="2"/>
      <c r="D33" s="5">
        <f>B33+2*E33</f>
      </c>
      <c r="E33" s="6">
        <v>1209.5</v>
      </c>
      <c r="F33" s="6">
        <f>IF(C33=0, Parametri!$D$8, ABS(B33-C33)/(2*SQRT(3)))</f>
      </c>
      <c r="G33" s="6">
        <f>(A33-335)+135.8+(Parametri!$A$5/2)</f>
      </c>
      <c r="H33" s="6">
        <f>(E33-192)-('Dati (2)'!A33-Parametri!$A$11)+Parametri!$A$2</f>
      </c>
      <c r="I33" s="6">
        <f>F33</f>
      </c>
      <c r="J33" s="6">
        <f>Parametri!$D$8</f>
      </c>
    </row>
    <row x14ac:dyDescent="0.25" r="34" customHeight="1" ht="17.25">
      <c r="A34" s="4">
        <f>A33+1</f>
      </c>
      <c r="B34" s="2"/>
      <c r="C34" s="2"/>
      <c r="D34" s="5">
        <f>B34+2*E34</f>
      </c>
      <c r="E34" s="6">
        <v>1199</v>
      </c>
      <c r="F34" s="6">
        <f>IF(C34=0, Parametri!$D$8, ABS(B34-C34)/(2*SQRT(3)))</f>
      </c>
      <c r="G34" s="6">
        <f>(A34-335)+135.8+(Parametri!$A$5/2)</f>
      </c>
      <c r="H34" s="6">
        <f>(E34-192)-('Dati (2)'!A34-Parametri!$A$11)+Parametri!$A$2</f>
      </c>
      <c r="I34" s="6">
        <f>F34</f>
      </c>
      <c r="J34" s="6">
        <f>Parametri!$D$8</f>
      </c>
    </row>
    <row x14ac:dyDescent="0.25" r="35" customHeight="1" ht="17.25">
      <c r="A35" s="4">
        <f>A34+1</f>
      </c>
      <c r="B35" s="2"/>
      <c r="C35" s="2"/>
      <c r="D35" s="5">
        <f>B35+2*E35</f>
      </c>
      <c r="E35" s="6">
        <v>1188</v>
      </c>
      <c r="F35" s="6">
        <f>IF(C35=0, Parametri!$D$8, ABS(B35-C35)/(2*SQRT(3)))</f>
      </c>
      <c r="G35" s="6">
        <f>(A35-335)+135.8+(Parametri!$A$5/2)</f>
      </c>
      <c r="H35" s="6">
        <f>(E35-192)-('Dati (2)'!A35-Parametri!$A$11)+Parametri!$A$2</f>
      </c>
      <c r="I35" s="6">
        <f>F35</f>
      </c>
      <c r="J35" s="6">
        <f>Parametri!$D$8</f>
      </c>
    </row>
    <row x14ac:dyDescent="0.25" r="36" customHeight="1" ht="17.25">
      <c r="A36" s="4">
        <f>A35+1</f>
      </c>
      <c r="B36" s="2"/>
      <c r="C36" s="2"/>
      <c r="D36" s="5">
        <f>B36+2*E36</f>
      </c>
      <c r="E36" s="6">
        <v>1178.5</v>
      </c>
      <c r="F36" s="6">
        <f>IF(C36=0, Parametri!$D$8, ABS(B36-C36)/(2*SQRT(3)))</f>
      </c>
      <c r="G36" s="6">
        <f>(A36-335)+135.8+(Parametri!$A$5/2)</f>
      </c>
      <c r="H36" s="6">
        <f>(E36-192)-('Dati (2)'!A36-Parametri!$A$11)+Parametri!$A$2</f>
      </c>
      <c r="I36" s="6">
        <f>F36</f>
      </c>
      <c r="J36" s="6">
        <f>Parametri!$D$8</f>
      </c>
    </row>
    <row x14ac:dyDescent="0.25" r="37" customHeight="1" ht="17.25">
      <c r="A37" s="4">
        <f>A36+1</f>
      </c>
      <c r="B37" s="2"/>
      <c r="C37" s="2"/>
      <c r="D37" s="5">
        <f>B37+2*E37</f>
      </c>
      <c r="E37" s="6">
        <v>1166.5</v>
      </c>
      <c r="F37" s="6">
        <f>IF(C37=0, Parametri!$D$8, ABS(B37-C37)/(2*SQRT(3)))</f>
      </c>
      <c r="G37" s="6">
        <f>(A37-335)+135.8+(Parametri!$A$5/2)</f>
      </c>
      <c r="H37" s="6">
        <f>(E37-192)-('Dati (2)'!A37-Parametri!$A$11)+Parametri!$A$2</f>
      </c>
      <c r="I37" s="6">
        <f>F37</f>
      </c>
      <c r="J37" s="6">
        <f>Parametri!$D$8</f>
      </c>
    </row>
    <row x14ac:dyDescent="0.25" r="38" customHeight="1" ht="17.25">
      <c r="A38" s="4">
        <f>A37+1</f>
      </c>
      <c r="B38" s="2"/>
      <c r="C38" s="2"/>
      <c r="D38" s="5">
        <f>B38+2*E38</f>
      </c>
      <c r="E38" s="6">
        <v>1155.5</v>
      </c>
      <c r="F38" s="6">
        <f>IF(C38=0, Parametri!$D$8, ABS(B38-C38)/(2*SQRT(3)))</f>
      </c>
      <c r="G38" s="6">
        <f>(A38-335)+135.8+(Parametri!$A$5/2)</f>
      </c>
      <c r="H38" s="6">
        <f>(E38-192)-('Dati (2)'!A38-Parametri!$A$11)+Parametri!$A$2</f>
      </c>
      <c r="I38" s="6">
        <f>F38</f>
      </c>
      <c r="J38" s="6">
        <f>Parametri!$D$8</f>
      </c>
    </row>
    <row x14ac:dyDescent="0.25" r="39" customHeight="1" ht="17.25">
      <c r="A39" s="4">
        <f>A38+1</f>
      </c>
      <c r="B39" s="2"/>
      <c r="C39" s="2"/>
      <c r="D39" s="5">
        <f>B39+2*E39</f>
      </c>
      <c r="E39" s="6">
        <v>1141</v>
      </c>
      <c r="F39" s="6">
        <f>IF(C39=0, Parametri!$D$8, ABS(B39-C39)/(2*SQRT(3)))</f>
      </c>
      <c r="G39" s="6">
        <f>(A39-335)+135.8+(Parametri!$A$5/2)</f>
      </c>
      <c r="H39" s="6">
        <f>(E39-192)-('Dati (2)'!A39-Parametri!$A$11)+Parametri!$A$2</f>
      </c>
      <c r="I39" s="6">
        <f>F39</f>
      </c>
      <c r="J39" s="6">
        <f>Parametri!$D$8</f>
      </c>
    </row>
    <row x14ac:dyDescent="0.25" r="40" customHeight="1" ht="17.25">
      <c r="A40" s="4">
        <f>A39+1</f>
      </c>
      <c r="B40" s="2"/>
      <c r="C40" s="2"/>
      <c r="D40" s="5">
        <f>B40+2*E40</f>
      </c>
      <c r="E40" s="6">
        <v>1138.5</v>
      </c>
      <c r="F40" s="6">
        <f>IF(C40=0, Parametri!$D$8, ABS(B40-C40)/(2*SQRT(3)))</f>
      </c>
      <c r="G40" s="6">
        <f>(A40-335)+135.8+(Parametri!$A$5/2)</f>
      </c>
      <c r="H40" s="6">
        <f>(E40-192)-('Dati (2)'!A40-Parametri!$A$11)+Parametri!$A$2</f>
      </c>
      <c r="I40" s="6">
        <f>F40</f>
      </c>
      <c r="J40" s="6">
        <f>Parametri!$D$8</f>
      </c>
    </row>
    <row x14ac:dyDescent="0.25" r="41" customHeight="1" ht="17.25">
      <c r="A41" s="4">
        <f>A40+1</f>
      </c>
      <c r="B41" s="2"/>
      <c r="C41" s="2"/>
      <c r="D41" s="5">
        <f>B41+2*E41</f>
      </c>
      <c r="E41" s="6">
        <v>1128</v>
      </c>
      <c r="F41" s="6">
        <f>IF(C41=0, Parametri!$D$8, ABS(B41-C41)/(2*SQRT(3)))</f>
      </c>
      <c r="G41" s="6">
        <f>(A41-335)+135.8+(Parametri!$A$5/2)</f>
      </c>
      <c r="H41" s="6">
        <f>(E41-192)-('Dati (2)'!A41-Parametri!$A$11)+Parametri!$A$2</f>
      </c>
      <c r="I41" s="6">
        <f>F41</f>
      </c>
      <c r="J41" s="6">
        <f>Parametri!$D$8</f>
      </c>
    </row>
    <row x14ac:dyDescent="0.25" r="42" customHeight="1" ht="17.25">
      <c r="A42" s="4">
        <f>A41+1</f>
      </c>
      <c r="B42" s="2"/>
      <c r="C42" s="2"/>
      <c r="D42" s="5">
        <f>B42+2*E42</f>
      </c>
      <c r="E42" s="6">
        <v>1116</v>
      </c>
      <c r="F42" s="6">
        <f>IF(C42=0, Parametri!$D$8, ABS(B42-C42)/(2*SQRT(3)))</f>
      </c>
      <c r="G42" s="6">
        <f>(A42-335)+135.8+(Parametri!$A$5/2)</f>
      </c>
      <c r="H42" s="6">
        <f>(E42-192)-('Dati (2)'!A42-Parametri!$A$11)+Parametri!$A$2</f>
      </c>
      <c r="I42" s="6">
        <f>F42</f>
      </c>
      <c r="J42" s="6">
        <f>Parametri!$D$8</f>
      </c>
    </row>
    <row x14ac:dyDescent="0.25" r="43" customHeight="1" ht="17.25">
      <c r="A43" s="4">
        <f>A42+1</f>
      </c>
      <c r="B43" s="2"/>
      <c r="C43" s="2"/>
      <c r="D43" s="5">
        <f>B43+2*E43</f>
      </c>
      <c r="E43" s="6">
        <v>1110</v>
      </c>
      <c r="F43" s="6">
        <f>IF(C43=0, Parametri!$D$8, ABS(B43-C43)/(2*SQRT(3)))</f>
      </c>
      <c r="G43" s="6">
        <f>(A43-335)+135.8+(Parametri!$A$5/2)</f>
      </c>
      <c r="H43" s="6">
        <f>(E43-192)-('Dati (2)'!A43-Parametri!$A$11)+Parametri!$A$2</f>
      </c>
      <c r="I43" s="6">
        <f>F43</f>
      </c>
      <c r="J43" s="6">
        <f>Parametri!$D$8</f>
      </c>
    </row>
    <row x14ac:dyDescent="0.25" r="44" customHeight="1" ht="17.25">
      <c r="A44" s="4">
        <f>A43+1</f>
      </c>
      <c r="B44" s="2"/>
      <c r="C44" s="2"/>
      <c r="D44" s="5">
        <f>B44+2*E44</f>
      </c>
      <c r="E44" s="6">
        <v>1097.5</v>
      </c>
      <c r="F44" s="6">
        <f>IF(C44=0, Parametri!$D$8, ABS(B44-C44)/(2*SQRT(3)))</f>
      </c>
      <c r="G44" s="6">
        <f>(A44-335)+135.8+(Parametri!$A$5/2)</f>
      </c>
      <c r="H44" s="6">
        <f>(E44-192)-('Dati (2)'!A44-Parametri!$A$11)+Parametri!$A$2</f>
      </c>
      <c r="I44" s="6">
        <f>F44</f>
      </c>
      <c r="J44" s="6">
        <f>Parametri!$D$8</f>
      </c>
    </row>
    <row x14ac:dyDescent="0.25" r="45" customHeight="1" ht="17.25">
      <c r="A45" s="4">
        <f>A44+1</f>
      </c>
      <c r="B45" s="2"/>
      <c r="C45" s="2"/>
      <c r="D45" s="5">
        <f>B45+2*E45</f>
      </c>
      <c r="E45" s="6">
        <v>1092.5</v>
      </c>
      <c r="F45" s="6">
        <f>IF(C45=0, Parametri!$D$8, ABS(B45-C45)/(2*SQRT(3)))</f>
      </c>
      <c r="G45" s="6">
        <f>(A45-335)+135.8+(Parametri!$A$5/2)</f>
      </c>
      <c r="H45" s="6">
        <f>(E45-192)-('Dati (2)'!A45-Parametri!$A$11)+Parametri!$A$2</f>
      </c>
      <c r="I45" s="6">
        <f>F45</f>
      </c>
      <c r="J45" s="6">
        <f>Parametri!$D$8</f>
      </c>
    </row>
    <row x14ac:dyDescent="0.25" r="46" customHeight="1" ht="17.25">
      <c r="A46" s="4">
        <f>A45+1</f>
      </c>
      <c r="B46" s="2"/>
      <c r="C46" s="2"/>
      <c r="D46" s="5">
        <f>B46+2*E46</f>
      </c>
      <c r="E46" s="6">
        <v>1086.5</v>
      </c>
      <c r="F46" s="6">
        <f>IF(C46=0, Parametri!$D$8, ABS(B46-C46)/(2*SQRT(3)))</f>
      </c>
      <c r="G46" s="6">
        <f>(A46-335)+135.8+(Parametri!$A$5/2)</f>
      </c>
      <c r="H46" s="6">
        <f>(E46-192)-('Dati (2)'!A46-Parametri!$A$11)+Parametri!$A$2</f>
      </c>
      <c r="I46" s="6">
        <f>F46</f>
      </c>
      <c r="J46" s="6">
        <f>Parametri!$D$8</f>
      </c>
    </row>
    <row x14ac:dyDescent="0.25" r="47" customHeight="1" ht="17.25">
      <c r="A47" s="4">
        <f>A46+1</f>
      </c>
      <c r="B47" s="2"/>
      <c r="C47" s="2"/>
      <c r="D47" s="5">
        <f>B47+2*E47</f>
      </c>
      <c r="E47" s="6">
        <v>1075</v>
      </c>
      <c r="F47" s="6">
        <f>IF(C47=0, Parametri!$D$8, ABS(B47-C47)/(2*SQRT(3)))</f>
      </c>
      <c r="G47" s="6">
        <f>(A47-335)+135.8+(Parametri!$A$5/2)</f>
      </c>
      <c r="H47" s="6">
        <f>(E47-192)-('Dati (2)'!A47-Parametri!$A$11)+Parametri!$A$2</f>
      </c>
      <c r="I47" s="6">
        <f>F47</f>
      </c>
      <c r="J47" s="6">
        <f>Parametri!$D$8</f>
      </c>
    </row>
    <row x14ac:dyDescent="0.25" r="48" customHeight="1" ht="17.25">
      <c r="A48" s="4">
        <f>A47+2</f>
      </c>
      <c r="B48" s="2"/>
      <c r="C48" s="2"/>
      <c r="D48" s="5">
        <f>B48+2*E48</f>
      </c>
      <c r="E48" s="6">
        <v>1063</v>
      </c>
      <c r="F48" s="6">
        <f>IF(C48=0, Parametri!$D$8, ABS(B48-C48)/(2*SQRT(3)))</f>
      </c>
      <c r="G48" s="6">
        <f>(A48-335)+135.8+(Parametri!$A$5/2)</f>
      </c>
      <c r="H48" s="6">
        <f>(E48-192)-('Dati (2)'!A48-Parametri!$A$11)+Parametri!$A$2</f>
      </c>
      <c r="I48" s="6">
        <f>F48</f>
      </c>
      <c r="J48" s="6">
        <f>Parametri!$D$8</f>
      </c>
    </row>
    <row x14ac:dyDescent="0.25" r="49" customHeight="1" ht="17.25">
      <c r="A49" s="4">
        <f>A48+2</f>
      </c>
      <c r="B49" s="2"/>
      <c r="C49" s="2"/>
      <c r="D49" s="5">
        <f>B49+2*E49</f>
      </c>
      <c r="E49" s="6">
        <v>1042.5</v>
      </c>
      <c r="F49" s="6">
        <f>IF(C49=0, Parametri!$D$8, ABS(B49-C49)/(2*SQRT(3)))</f>
      </c>
      <c r="G49" s="6">
        <f>(A49-335)+135.8+(Parametri!$A$5/2)</f>
      </c>
      <c r="H49" s="6">
        <f>(E49-192)-('Dati (2)'!A49-Parametri!$A$11)+Parametri!$A$2</f>
      </c>
      <c r="I49" s="6">
        <f>F49</f>
      </c>
      <c r="J49" s="6">
        <f>Parametri!$D$8</f>
      </c>
    </row>
    <row x14ac:dyDescent="0.25" r="50" customHeight="1" ht="17.25">
      <c r="A50" s="4">
        <f>A49+2</f>
      </c>
      <c r="B50" s="2"/>
      <c r="C50" s="2"/>
      <c r="D50" s="5">
        <f>B50+2*E50</f>
      </c>
      <c r="E50" s="6">
        <v>1034</v>
      </c>
      <c r="F50" s="6">
        <f>IF(C50=0, Parametri!$D$8, ABS(B50-C50)/(2*SQRT(3)))</f>
      </c>
      <c r="G50" s="6">
        <f>(A50-335)+135.8+(Parametri!$A$5/2)</f>
      </c>
      <c r="H50" s="6">
        <f>(E50-192)-('Dati (2)'!A50-Parametri!$A$11)+Parametri!$A$2</f>
      </c>
      <c r="I50" s="6">
        <f>F50</f>
      </c>
      <c r="J50" s="6">
        <f>Parametri!$D$8</f>
      </c>
    </row>
    <row x14ac:dyDescent="0.25" r="51" customHeight="1" ht="17.25">
      <c r="A51" s="4">
        <f>A50+2</f>
      </c>
      <c r="B51" s="2"/>
      <c r="C51" s="2"/>
      <c r="D51" s="5">
        <f>B51+2*E51</f>
      </c>
      <c r="E51" s="6">
        <v>1027.5</v>
      </c>
      <c r="F51" s="6">
        <f>IF(C51=0, Parametri!$D$8, ABS(B51-C51)/(2*SQRT(3)))</f>
      </c>
      <c r="G51" s="6">
        <f>(A51-335)+135.8+(Parametri!$A$5/2)</f>
      </c>
      <c r="H51" s="6">
        <f>(E51-192)-('Dati (2)'!A51-Parametri!$A$11)+Parametri!$A$2</f>
      </c>
      <c r="I51" s="6">
        <f>F51</f>
      </c>
      <c r="J51" s="6">
        <f>Parametri!$D$8</f>
      </c>
    </row>
    <row x14ac:dyDescent="0.25" r="52" customHeight="1" ht="17.25">
      <c r="A52" s="4">
        <f>A51+2</f>
      </c>
      <c r="B52" s="2"/>
      <c r="C52" s="2"/>
      <c r="D52" s="5">
        <f>B52+2*E52</f>
      </c>
      <c r="E52" s="6">
        <v>1010</v>
      </c>
      <c r="F52" s="6">
        <f>IF(C52=0, Parametri!$D$8, ABS(B52-C52)/(2*SQRT(3)))</f>
      </c>
      <c r="G52" s="6">
        <f>(A52-335)+135.8+(Parametri!$A$5/2)</f>
      </c>
      <c r="H52" s="6">
        <f>(E52-192)-('Dati (2)'!A52-Parametri!$A$11)+Parametri!$A$2</f>
      </c>
      <c r="I52" s="6">
        <f>F52</f>
      </c>
      <c r="J52" s="6">
        <f>Parametri!$D$8</f>
      </c>
    </row>
    <row x14ac:dyDescent="0.25" r="53" customHeight="1" ht="17.25">
      <c r="A53" s="4">
        <f>A52+2</f>
      </c>
      <c r="B53" s="2"/>
      <c r="C53" s="2"/>
      <c r="D53" s="5">
        <f>B53+2*E53</f>
      </c>
      <c r="E53" s="6">
        <v>999.5</v>
      </c>
      <c r="F53" s="6">
        <f>IF(C53=0, Parametri!$D$8, ABS(B53-C53)/(2*SQRT(3)))</f>
      </c>
      <c r="G53" s="6">
        <f>(A53-335)+135.8+(Parametri!$A$5/2)</f>
      </c>
      <c r="H53" s="6">
        <f>(E53-192)-('Dati (2)'!A53-Parametri!$A$11)+Parametri!$A$2</f>
      </c>
      <c r="I53" s="6">
        <f>F53</f>
      </c>
      <c r="J53" s="6">
        <f>Parametri!$D$8</f>
      </c>
    </row>
    <row x14ac:dyDescent="0.25" r="54" customHeight="1" ht="17.25">
      <c r="A54" s="4">
        <f>A53+2</f>
      </c>
      <c r="B54" s="2"/>
      <c r="C54" s="2"/>
      <c r="D54" s="5">
        <f>B54+2*E54</f>
      </c>
      <c r="E54" s="6">
        <v>987.5</v>
      </c>
      <c r="F54" s="6">
        <f>IF(C54=0, Parametri!$D$8, ABS(B54-C54)/(2*SQRT(3)))</f>
      </c>
      <c r="G54" s="6">
        <f>(A54-335)+135.8+(Parametri!$A$5/2)</f>
      </c>
      <c r="H54" s="6">
        <f>(E54-192)-('Dati (2)'!A54-Parametri!$A$11)+Parametri!$A$2</f>
      </c>
      <c r="I54" s="6">
        <f>F54</f>
      </c>
      <c r="J54" s="6">
        <f>Parametri!$D$8</f>
      </c>
    </row>
    <row x14ac:dyDescent="0.25" r="55" customHeight="1" ht="17.25">
      <c r="A55" s="4">
        <f>A54+2</f>
      </c>
      <c r="B55" s="2"/>
      <c r="C55" s="2"/>
      <c r="D55" s="5">
        <f>B55+2*E55</f>
      </c>
      <c r="E55" s="6">
        <v>980.5</v>
      </c>
      <c r="F55" s="6">
        <f>IF(C55=0, Parametri!$D$8, ABS(B55-C55)/(2*SQRT(3)))</f>
      </c>
      <c r="G55" s="6">
        <f>(A55-335)+135.8+(Parametri!$A$5/2)</f>
      </c>
      <c r="H55" s="6">
        <f>(E55-192)-('Dati (2)'!A55-Parametri!$A$11)+Parametri!$A$2</f>
      </c>
      <c r="I55" s="6">
        <f>F55</f>
      </c>
      <c r="J55" s="6">
        <f>Parametri!$D$8</f>
      </c>
    </row>
    <row x14ac:dyDescent="0.25" r="56" customHeight="1" ht="17.25">
      <c r="A56" s="4">
        <f>A55+2</f>
      </c>
      <c r="B56" s="2"/>
      <c r="C56" s="2"/>
      <c r="D56" s="5">
        <f>B56+2*E56</f>
      </c>
      <c r="E56" s="6">
        <v>970</v>
      </c>
      <c r="F56" s="6">
        <f>IF(C56=0, Parametri!$D$8, ABS(B56-C56)/(2*SQRT(3)))</f>
      </c>
      <c r="G56" s="6">
        <f>(A56-335)+135.8+(Parametri!$A$5/2)</f>
      </c>
      <c r="H56" s="6">
        <f>(E56-192)-('Dati (2)'!A56-Parametri!$A$11)+Parametri!$A$2</f>
      </c>
      <c r="I56" s="6">
        <f>F56</f>
      </c>
      <c r="J56" s="6">
        <f>Parametri!$D$8</f>
      </c>
    </row>
    <row x14ac:dyDescent="0.25" r="57" customHeight="1" ht="17.25">
      <c r="A57" s="4">
        <f>A56+2</f>
      </c>
      <c r="B57" s="2"/>
      <c r="C57" s="2"/>
      <c r="D57" s="5">
        <f>B57+2*E57</f>
      </c>
      <c r="E57" s="6">
        <v>955</v>
      </c>
      <c r="F57" s="6">
        <f>IF(C57=0, Parametri!$D$8, ABS(B57-C57)/(2*SQRT(3)))</f>
      </c>
      <c r="G57" s="6">
        <f>(A57-335)+135.8+(Parametri!$A$5/2)</f>
      </c>
      <c r="H57" s="6">
        <f>(E57-192)-('Dati (2)'!A57-Parametri!$A$11)+Parametri!$A$2</f>
      </c>
      <c r="I57" s="6">
        <f>F57</f>
      </c>
      <c r="J57" s="6">
        <f>Parametri!$D$8</f>
      </c>
    </row>
    <row x14ac:dyDescent="0.25" r="58" customHeight="1" ht="17.25">
      <c r="A58" s="4">
        <f>A57+2</f>
      </c>
      <c r="B58" s="2"/>
      <c r="C58" s="2"/>
      <c r="D58" s="5">
        <f>B58+2*E58</f>
      </c>
      <c r="E58" s="6">
        <v>945.5</v>
      </c>
      <c r="F58" s="6">
        <f>IF(C58=0, Parametri!$D$8, ABS(B58-C58)/(2*SQRT(3)))</f>
      </c>
      <c r="G58" s="6">
        <f>(A58-335)+135.8+(Parametri!$A$5/2)</f>
      </c>
      <c r="H58" s="6">
        <f>(E58-192)-('Dati (2)'!A58-Parametri!$A$11)+Parametri!$A$2</f>
      </c>
      <c r="I58" s="6">
        <f>F58</f>
      </c>
      <c r="J58" s="6">
        <f>Parametri!$D$8</f>
      </c>
    </row>
    <row x14ac:dyDescent="0.25" r="59" customHeight="1" ht="17.25">
      <c r="A59" s="4">
        <f>A58+2</f>
      </c>
      <c r="B59" s="2"/>
      <c r="C59" s="2"/>
      <c r="D59" s="5">
        <f>B59+2*E59</f>
      </c>
      <c r="E59" s="6">
        <v>943.5</v>
      </c>
      <c r="F59" s="6">
        <f>IF(C59=0, Parametri!$D$8, ABS(B59-C59)/(2*SQRT(3)))</f>
      </c>
      <c r="G59" s="6">
        <f>(A59-335)+135.8+(Parametri!$A$5/2)</f>
      </c>
      <c r="H59" s="6">
        <f>(E59-192)-('Dati (2)'!A59-Parametri!$A$11)+Parametri!$A$2</f>
      </c>
      <c r="I59" s="6">
        <f>F59</f>
      </c>
      <c r="J59" s="6">
        <f>Parametri!$D$8</f>
      </c>
    </row>
    <row x14ac:dyDescent="0.25" r="60" customHeight="1" ht="17.25">
      <c r="A60" s="4">
        <f>A59+2</f>
      </c>
      <c r="B60" s="2"/>
      <c r="C60" s="2"/>
      <c r="D60" s="5">
        <f>B60+2*E60</f>
      </c>
      <c r="E60" s="6">
        <v>933.5</v>
      </c>
      <c r="F60" s="6">
        <f>IF(C60=0, Parametri!$D$8, ABS(B60-C60)/(2*SQRT(3)))</f>
      </c>
      <c r="G60" s="6">
        <f>(A60-335)+135.8+(Parametri!$A$5/2)</f>
      </c>
      <c r="H60" s="6">
        <f>(E60-192)-('Dati (2)'!A60-Parametri!$A$11)+Parametri!$A$2</f>
      </c>
      <c r="I60" s="6">
        <f>F60</f>
      </c>
      <c r="J60" s="6">
        <f>Parametri!$D$8</f>
      </c>
    </row>
    <row x14ac:dyDescent="0.25" r="61" customHeight="1" ht="17.25">
      <c r="A61" s="4">
        <f>A60+2</f>
      </c>
      <c r="B61" s="2"/>
      <c r="C61" s="2"/>
      <c r="D61" s="5">
        <f>B61+2*E61</f>
      </c>
      <c r="E61" s="6">
        <v>931</v>
      </c>
      <c r="F61" s="6">
        <f>IF(C61=0, Parametri!$D$8, ABS(B61-C61)/(2*SQRT(3)))</f>
      </c>
      <c r="G61" s="6">
        <f>(A61-335)+135.8+(Parametri!$A$5/2)</f>
      </c>
      <c r="H61" s="6">
        <f>(E61-192)-('Dati (2)'!A61-Parametri!$A$11)+Parametri!$A$2</f>
      </c>
      <c r="I61" s="6">
        <f>F61</f>
      </c>
      <c r="J61" s="6">
        <f>Parametri!$D$8</f>
      </c>
    </row>
    <row x14ac:dyDescent="0.25" r="62" customHeight="1" ht="17.25">
      <c r="A62" s="4">
        <f>A61+2</f>
      </c>
      <c r="B62" s="2"/>
      <c r="C62" s="2"/>
      <c r="D62" s="5">
        <f>B62+2*E62</f>
      </c>
      <c r="E62" s="6">
        <v>923</v>
      </c>
      <c r="F62" s="6">
        <f>IF(C62=0, Parametri!$D$8, ABS(B62-C62)/(2*SQRT(3)))</f>
      </c>
      <c r="G62" s="6">
        <f>(A62-335)+135.8+(Parametri!$A$5/2)</f>
      </c>
      <c r="H62" s="6">
        <f>(E62-192)-('Dati (2)'!A62-Parametri!$A$11)+Parametri!$A$2</f>
      </c>
      <c r="I62" s="6">
        <f>F62</f>
      </c>
      <c r="J62" s="6">
        <f>Parametri!$D$8</f>
      </c>
    </row>
    <row x14ac:dyDescent="0.25" r="63" customHeight="1" ht="17.25">
      <c r="A63" s="4">
        <f>A62+2</f>
      </c>
      <c r="B63" s="2"/>
      <c r="C63" s="2"/>
      <c r="D63" s="5">
        <f>B63+2*E63</f>
      </c>
      <c r="E63" s="6">
        <v>920</v>
      </c>
      <c r="F63" s="6">
        <f>IF(C63=0, Parametri!$D$8, ABS(B63-C63)/(2*SQRT(3)))</f>
      </c>
      <c r="G63" s="6">
        <f>(A63-335)+135.8+(Parametri!$A$5/2)</f>
      </c>
      <c r="H63" s="6">
        <f>(E63-192)-('Dati (2)'!A63-Parametri!$A$11)+Parametri!$A$2</f>
      </c>
      <c r="I63" s="6">
        <f>F63</f>
      </c>
      <c r="J63" s="6">
        <f>Parametri!$D$8</f>
      </c>
    </row>
    <row x14ac:dyDescent="0.25" r="64" customHeight="1" ht="17.25">
      <c r="A64" s="4">
        <f>A63+2</f>
      </c>
      <c r="B64" s="2"/>
      <c r="C64" s="2"/>
      <c r="D64" s="5">
        <f>B64+2*E64</f>
      </c>
      <c r="E64" s="6">
        <v>912</v>
      </c>
      <c r="F64" s="6">
        <f>IF(C64=0, Parametri!$D$8, ABS(B64-C64)/(2*SQRT(3)))</f>
      </c>
      <c r="G64" s="6">
        <f>(A64-335)+135.8+(Parametri!$A$5/2)</f>
      </c>
      <c r="H64" s="6">
        <f>(E64-192)-('Dati (2)'!A64-Parametri!$A$11)+Parametri!$A$2</f>
      </c>
      <c r="I64" s="6">
        <f>F64</f>
      </c>
      <c r="J64" s="6">
        <f>Parametri!$D$8</f>
      </c>
    </row>
    <row x14ac:dyDescent="0.25" r="65" customHeight="1" ht="17.25">
      <c r="A65" s="4">
        <f>A64+2</f>
      </c>
      <c r="B65" s="2"/>
      <c r="C65" s="2"/>
      <c r="D65" s="5">
        <f>B65+2*E65</f>
      </c>
      <c r="E65" s="6">
        <v>906</v>
      </c>
      <c r="F65" s="6">
        <f>IF(C65=0, Parametri!$D$8, ABS(B65-C65)/(2*SQRT(3)))</f>
      </c>
      <c r="G65" s="6">
        <f>(A65-335)+135.8+(Parametri!$A$5/2)</f>
      </c>
      <c r="H65" s="6">
        <f>(E65-192)-('Dati (2)'!A65-Parametri!$A$11)+Parametri!$A$2</f>
      </c>
      <c r="I65" s="6">
        <f>F65</f>
      </c>
      <c r="J65" s="6">
        <f>Parametri!$D$8</f>
      </c>
    </row>
    <row x14ac:dyDescent="0.25" r="66" customHeight="1" ht="17.25">
      <c r="A66" s="4">
        <f>A65+3</f>
      </c>
      <c r="B66" s="2"/>
      <c r="C66" s="2"/>
      <c r="D66" s="5">
        <f>B66+2*E66</f>
      </c>
      <c r="E66" s="6">
        <v>903</v>
      </c>
      <c r="F66" s="6">
        <f>IF(C66=0, Parametri!$D$8, ABS(B66-C66)/(2*SQRT(3)))</f>
      </c>
      <c r="G66" s="6">
        <f>(A66-335)+135.8+(Parametri!$A$5/2)</f>
      </c>
      <c r="H66" s="6">
        <f>(E66-192)-('Dati (2)'!A66-Parametri!$A$11)+Parametri!$A$2</f>
      </c>
      <c r="I66" s="6">
        <f>F66</f>
      </c>
      <c r="J66" s="6">
        <f>Parametri!$D$8</f>
      </c>
    </row>
    <row x14ac:dyDescent="0.25" r="67" customHeight="1" ht="17.25">
      <c r="A67" s="4">
        <f>A66+3</f>
      </c>
      <c r="B67" s="2"/>
      <c r="C67" s="2"/>
      <c r="D67" s="5">
        <f>B67+2*E67</f>
      </c>
      <c r="E67" s="6">
        <v>891</v>
      </c>
      <c r="F67" s="6">
        <f>IF(C67=0, Parametri!$D$8, ABS(B67-C67)/(2*SQRT(3)))</f>
      </c>
      <c r="G67" s="6">
        <f>(A67-335)+135.8+(Parametri!$A$5/2)</f>
      </c>
      <c r="H67" s="6">
        <f>(E67-192)-('Dati (2)'!A67-Parametri!$A$11)+Parametri!$A$2</f>
      </c>
      <c r="I67" s="6">
        <f>F67</f>
      </c>
      <c r="J67" s="6">
        <f>Parametri!$D$8</f>
      </c>
    </row>
    <row x14ac:dyDescent="0.25" r="68" customHeight="1" ht="17.25">
      <c r="A68" s="4">
        <f>A67+3</f>
      </c>
      <c r="B68" s="2"/>
      <c r="C68" s="2"/>
      <c r="D68" s="5">
        <f>B68+2*E68</f>
      </c>
      <c r="E68" s="6">
        <v>888.5</v>
      </c>
      <c r="F68" s="6">
        <f>IF(C68=0, Parametri!$D$8, ABS(B68-C68)/(2*SQRT(3)))</f>
      </c>
      <c r="G68" s="6">
        <f>(A68-335)+135.8+(Parametri!$A$5/2)</f>
      </c>
      <c r="H68" s="6">
        <f>(E68-192)-('Dati (2)'!A68-Parametri!$A$11)+Parametri!$A$2</f>
      </c>
      <c r="I68" s="6">
        <f>F68</f>
      </c>
      <c r="J68" s="6">
        <f>Parametri!$D$8</f>
      </c>
    </row>
    <row x14ac:dyDescent="0.25" r="69" customHeight="1" ht="17.25">
      <c r="A69" s="4">
        <f>A68+3</f>
      </c>
      <c r="B69" s="2"/>
      <c r="C69" s="2"/>
      <c r="D69" s="5">
        <f>B69+2*E69</f>
      </c>
      <c r="E69" s="6">
        <v>890</v>
      </c>
      <c r="F69" s="6">
        <f>IF(C69=0, Parametri!$D$8, ABS(B69-C69)/(2*SQRT(3)))</f>
      </c>
      <c r="G69" s="6">
        <f>(A69-335)+135.8+(Parametri!$A$5/2)</f>
      </c>
      <c r="H69" s="6">
        <f>(E69-192)-('Dati (2)'!A69-Parametri!$A$11)+Parametri!$A$2</f>
      </c>
      <c r="I69" s="6">
        <f>F69</f>
      </c>
      <c r="J69" s="6">
        <f>Parametri!$D$8</f>
      </c>
    </row>
    <row x14ac:dyDescent="0.25" r="70" customHeight="1" ht="17.25">
      <c r="A70" s="4">
        <f>A69+3</f>
      </c>
      <c r="B70" s="2"/>
      <c r="C70" s="2"/>
      <c r="D70" s="5">
        <f>B70+2*E70</f>
      </c>
      <c r="E70" s="6">
        <v>876</v>
      </c>
      <c r="F70" s="6">
        <f>IF(C70=0, Parametri!$D$8, ABS(B70-C70)/(2*SQRT(3)))</f>
      </c>
      <c r="G70" s="6">
        <f>(A70-335)+135.8+(Parametri!$A$5/2)</f>
      </c>
      <c r="H70" s="6">
        <f>(E70-192)-('Dati (2)'!A70-Parametri!$A$11)+Parametri!$A$2</f>
      </c>
      <c r="I70" s="6">
        <f>F70</f>
      </c>
      <c r="J70" s="6">
        <f>Parametri!$D$8</f>
      </c>
    </row>
    <row x14ac:dyDescent="0.25" r="71" customHeight="1" ht="17.25">
      <c r="A71" s="4">
        <f>A70+3</f>
      </c>
      <c r="B71" s="2"/>
      <c r="C71" s="2"/>
      <c r="D71" s="5">
        <f>B71+2*E71</f>
      </c>
      <c r="E71" s="6">
        <v>872</v>
      </c>
      <c r="F71" s="6">
        <f>IF(C71=0, Parametri!$D$8, ABS(B71-C71)/(2*SQRT(3)))</f>
      </c>
      <c r="G71" s="6">
        <f>(A71-335)+135.8+(Parametri!$A$5/2)</f>
      </c>
      <c r="H71" s="6">
        <f>(E71-192)-('Dati (2)'!A71-Parametri!$A$11)+Parametri!$A$2</f>
      </c>
      <c r="I71" s="6">
        <f>F71</f>
      </c>
      <c r="J71" s="6">
        <f>Parametri!$D$8</f>
      </c>
    </row>
    <row x14ac:dyDescent="0.25" r="72" customHeight="1" ht="17.25">
      <c r="A72" s="4">
        <f>A71+3</f>
      </c>
      <c r="B72" s="2"/>
      <c r="C72" s="2"/>
      <c r="D72" s="5">
        <f>B72+2*E72</f>
      </c>
      <c r="E72" s="6">
        <v>871</v>
      </c>
      <c r="F72" s="6">
        <f>IF(C72=0, Parametri!$D$8, ABS(B72-C72)/(2*SQRT(3)))</f>
      </c>
      <c r="G72" s="6">
        <f>(A72-335)+135.8+(Parametri!$A$5/2)</f>
      </c>
      <c r="H72" s="6">
        <f>(E72-192)-('Dati (2)'!A72-Parametri!$A$11)+Parametri!$A$2</f>
      </c>
      <c r="I72" s="6">
        <f>F72</f>
      </c>
      <c r="J72" s="6">
        <f>Parametri!$D$8</f>
      </c>
    </row>
    <row x14ac:dyDescent="0.25" r="73" customHeight="1" ht="17.25">
      <c r="A73" s="4">
        <f>A72+3</f>
      </c>
      <c r="B73" s="2"/>
      <c r="C73" s="2"/>
      <c r="D73" s="5">
        <f>B73+2*E73</f>
      </c>
      <c r="E73" s="6">
        <v>867</v>
      </c>
      <c r="F73" s="6">
        <f>IF(C73=0, Parametri!$D$8, ABS(B73-C73)/(2*SQRT(3)))</f>
      </c>
      <c r="G73" s="6">
        <f>(A73-335)+135.8+(Parametri!$A$5/2)</f>
      </c>
      <c r="H73" s="6">
        <f>(E73-192)-('Dati (2)'!A73-Parametri!$A$11)+Parametri!$A$2</f>
      </c>
      <c r="I73" s="6">
        <f>F73</f>
      </c>
      <c r="J73" s="6">
        <f>Parametri!$D$8</f>
      </c>
    </row>
    <row x14ac:dyDescent="0.25" r="74" customHeight="1" ht="17.25">
      <c r="A74" s="4">
        <f>A73+4</f>
      </c>
      <c r="B74" s="2"/>
      <c r="C74" s="2"/>
      <c r="D74" s="5">
        <f>B74+2*E74</f>
      </c>
      <c r="E74" s="6">
        <v>860.5</v>
      </c>
      <c r="F74" s="6">
        <f>IF(C74=0, Parametri!$D$8, ABS(B74-C74)/(2*SQRT(3)))</f>
      </c>
      <c r="G74" s="6">
        <f>(A74-335)+135.8+(Parametri!$A$5/2)</f>
      </c>
      <c r="H74" s="6">
        <f>(E74-192)-('Dati (2)'!A74-Parametri!$A$11)+Parametri!$A$2</f>
      </c>
      <c r="I74" s="6">
        <f>F74</f>
      </c>
      <c r="J74" s="6">
        <f>Parametri!$D$8</f>
      </c>
    </row>
    <row x14ac:dyDescent="0.25" r="75" customHeight="1" ht="17.25">
      <c r="A75" s="4">
        <f>A74+4</f>
      </c>
      <c r="B75" s="2"/>
      <c r="C75" s="2"/>
      <c r="D75" s="5">
        <f>B75+2*E75</f>
      </c>
      <c r="E75" s="6">
        <v>860</v>
      </c>
      <c r="F75" s="6">
        <f>IF(C75=0, Parametri!$D$8, ABS(B75-C75)/(2*SQRT(3)))</f>
      </c>
      <c r="G75" s="6">
        <f>(A75-335)+135.8+(Parametri!$A$5/2)</f>
      </c>
      <c r="H75" s="6">
        <f>(E75-192)-('Dati (2)'!A75-Parametri!$A$11)+Parametri!$A$2</f>
      </c>
      <c r="I75" s="6">
        <f>F75</f>
      </c>
      <c r="J75" s="6">
        <f>Parametri!$D$8</f>
      </c>
    </row>
    <row x14ac:dyDescent="0.25" r="76" customHeight="1" ht="17.25">
      <c r="A76" s="4">
        <f>A75+4</f>
      </c>
      <c r="B76" s="2"/>
      <c r="C76" s="2"/>
      <c r="D76" s="5">
        <f>B76+2*E76</f>
      </c>
      <c r="E76" s="6">
        <v>853</v>
      </c>
      <c r="F76" s="6">
        <f>IF(C76=0, Parametri!$D$8, ABS(B76-C76)/(2*SQRT(3)))</f>
      </c>
      <c r="G76" s="6">
        <f>(A76-335)+135.8+(Parametri!$A$5/2)</f>
      </c>
      <c r="H76" s="6">
        <f>(E76-192)-('Dati (2)'!A76-Parametri!$A$11)+Parametri!$A$2</f>
      </c>
      <c r="I76" s="6">
        <f>F76</f>
      </c>
      <c r="J76" s="6">
        <f>Parametri!$D$8</f>
      </c>
    </row>
    <row x14ac:dyDescent="0.25" r="77" customHeight="1" ht="17.25">
      <c r="A77" s="4">
        <f>A76+4</f>
      </c>
      <c r="B77" s="2"/>
      <c r="C77" s="2"/>
      <c r="D77" s="5">
        <f>B77+2*E77</f>
      </c>
      <c r="E77" s="6">
        <v>847.5</v>
      </c>
      <c r="F77" s="6">
        <f>IF(C77=0, Parametri!$D$8, ABS(B77-C77)/(2*SQRT(3)))</f>
      </c>
      <c r="G77" s="6">
        <f>(A77-335)+135.8+(Parametri!$A$5/2)</f>
      </c>
      <c r="H77" s="6">
        <f>(E77-192)-('Dati (2)'!A77-Parametri!$A$11)+Parametri!$A$2</f>
      </c>
      <c r="I77" s="6">
        <f>F77</f>
      </c>
      <c r="J77" s="6">
        <f>Parametri!$D$8</f>
      </c>
    </row>
    <row x14ac:dyDescent="0.25" r="78" customHeight="1" ht="17.25">
      <c r="A78" s="4">
        <f>A77+4</f>
      </c>
      <c r="B78" s="2"/>
      <c r="C78" s="2"/>
      <c r="D78" s="5">
        <f>B78+2*E78</f>
      </c>
      <c r="E78" s="6">
        <v>848</v>
      </c>
      <c r="F78" s="6">
        <f>IF(C78=0, Parametri!$D$8, ABS(B78-C78)/(2*SQRT(3)))</f>
      </c>
      <c r="G78" s="6">
        <f>(A78-335)+135.8+(Parametri!$A$5/2)</f>
      </c>
      <c r="H78" s="6">
        <f>(E78-192)-('Dati (2)'!A78-Parametri!$A$11)+Parametri!$A$2</f>
      </c>
      <c r="I78" s="6">
        <f>F78</f>
      </c>
      <c r="J78" s="6">
        <f>Parametri!$D$8</f>
      </c>
    </row>
    <row x14ac:dyDescent="0.25" r="79" customHeight="1" ht="17.25">
      <c r="A79" s="4">
        <f>A78+4</f>
      </c>
      <c r="B79" s="2"/>
      <c r="C79" s="2"/>
      <c r="D79" s="5">
        <f>B79+2*E79</f>
      </c>
      <c r="E79" s="6">
        <v>842.5</v>
      </c>
      <c r="F79" s="6">
        <f>IF(C79=0, Parametri!$D$8, ABS(B79-C79)/(2*SQRT(3)))</f>
      </c>
      <c r="G79" s="6">
        <f>(A79-335)+135.8+(Parametri!$A$5/2)</f>
      </c>
      <c r="H79" s="6">
        <f>(E79-192)-('Dati (2)'!A79-Parametri!$A$11)+Parametri!$A$2</f>
      </c>
      <c r="I79" s="6">
        <f>F79</f>
      </c>
      <c r="J79" s="6">
        <f>Parametri!$D$8</f>
      </c>
    </row>
    <row x14ac:dyDescent="0.25" r="80" customHeight="1" ht="17.25">
      <c r="A80" s="4">
        <f>A79+4</f>
      </c>
      <c r="B80" s="2"/>
      <c r="C80" s="2"/>
      <c r="D80" s="5">
        <f>B80+2*E80</f>
      </c>
      <c r="E80" s="6">
        <v>841</v>
      </c>
      <c r="F80" s="6">
        <f>IF(C80=0, Parametri!$D$8, ABS(B80-C80)/(2*SQRT(3)))</f>
      </c>
      <c r="G80" s="6">
        <f>(A80-335)+135.8+(Parametri!$A$5/2)</f>
      </c>
      <c r="H80" s="6">
        <f>(E80-192)-('Dati (2)'!A80-Parametri!$A$11)+Parametri!$A$2</f>
      </c>
      <c r="I80" s="6">
        <f>F80</f>
      </c>
      <c r="J80" s="6">
        <f>Parametri!$D$8</f>
      </c>
    </row>
    <row x14ac:dyDescent="0.25" r="81" customHeight="1" ht="17.25">
      <c r="A81" s="4">
        <f>A80+4</f>
      </c>
      <c r="B81" s="2"/>
      <c r="C81" s="2"/>
      <c r="D81" s="5">
        <f>B81+2*E81</f>
      </c>
      <c r="E81" s="6">
        <v>838.5</v>
      </c>
      <c r="F81" s="6">
        <f>IF(C81=0, Parametri!$D$8, ABS(B81-C81)/(2*SQRT(3)))</f>
      </c>
      <c r="G81" s="6">
        <f>(A81-335)+135.8+(Parametri!$A$5/2)</f>
      </c>
      <c r="H81" s="6">
        <f>(E81-192)-('Dati (2)'!A81-Parametri!$A$11)+Parametri!$A$2</f>
      </c>
      <c r="I81" s="6">
        <f>F81</f>
      </c>
      <c r="J81" s="6">
        <f>Parametri!$D$8</f>
      </c>
    </row>
    <row x14ac:dyDescent="0.25" r="82" customHeight="1" ht="17.25">
      <c r="A82" s="4">
        <f>A81+5</f>
      </c>
      <c r="B82" s="2"/>
      <c r="C82" s="2"/>
      <c r="D82" s="5">
        <f>B82+2*E82</f>
      </c>
      <c r="E82" s="6">
        <v>841.5</v>
      </c>
      <c r="F82" s="6">
        <f>IF(C82=0, Parametri!$D$8, ABS(B82-C82)/(2*SQRT(3)))</f>
      </c>
      <c r="G82" s="6">
        <f>(A82-335)+135.8+(Parametri!$A$5/2)</f>
      </c>
      <c r="H82" s="6">
        <f>(E82-192)-('Dati (2)'!A82-Parametri!$A$11)+Parametri!$A$2</f>
      </c>
      <c r="I82" s="6">
        <f>F82</f>
      </c>
      <c r="J82" s="6">
        <f>Parametri!$D$8</f>
      </c>
    </row>
    <row x14ac:dyDescent="0.25" r="83" customHeight="1" ht="17.25">
      <c r="A83" s="4">
        <f>A82+5</f>
      </c>
      <c r="B83" s="2"/>
      <c r="C83" s="2"/>
      <c r="D83" s="5">
        <f>B83+2*E83</f>
      </c>
      <c r="E83" s="6">
        <v>842</v>
      </c>
      <c r="F83" s="6">
        <f>IF(C83=0, Parametri!$D$8, ABS(B83-C83)/(2*SQRT(3)))</f>
      </c>
      <c r="G83" s="6">
        <f>(A83-335)+135.8+(Parametri!$A$5/2)</f>
      </c>
      <c r="H83" s="6">
        <f>(E83-192)-('Dati (2)'!A83-Parametri!$A$11)+Parametri!$A$2</f>
      </c>
      <c r="I83" s="6">
        <f>F83</f>
      </c>
      <c r="J83" s="6">
        <f>Parametri!$D$8</f>
      </c>
    </row>
    <row x14ac:dyDescent="0.25" r="84" customHeight="1" ht="17.25">
      <c r="A84" s="4">
        <f>A83+5</f>
      </c>
      <c r="B84" s="2"/>
      <c r="C84" s="2"/>
      <c r="D84" s="5">
        <f>B84+2*E84</f>
      </c>
      <c r="E84" s="6">
        <v>841</v>
      </c>
      <c r="F84" s="6">
        <f>IF(C84=0, Parametri!$D$8, ABS(B84-C84)/(2*SQRT(3)))</f>
      </c>
      <c r="G84" s="6">
        <f>(A84-335)+135.8+(Parametri!$A$5/2)</f>
      </c>
      <c r="H84" s="6">
        <f>(E84-192)-('Dati (2)'!A84-Parametri!$A$11)+Parametri!$A$2</f>
      </c>
      <c r="I84" s="6">
        <f>F84</f>
      </c>
      <c r="J84" s="6">
        <f>Parametri!$D$8</f>
      </c>
    </row>
    <row x14ac:dyDescent="0.25" r="85" customHeight="1" ht="17.25">
      <c r="A85" s="4">
        <f>A84+5</f>
      </c>
      <c r="B85" s="2"/>
      <c r="C85" s="2"/>
      <c r="D85" s="5">
        <f>B85+2*E85</f>
      </c>
      <c r="E85" s="6">
        <v>840.5</v>
      </c>
      <c r="F85" s="6">
        <f>IF(C85=0, Parametri!$D$8, ABS(B85-C85)/(2*SQRT(3)))</f>
      </c>
      <c r="G85" s="6">
        <f>(A85-335)+135.8+(Parametri!$A$5/2)</f>
      </c>
      <c r="H85" s="6">
        <f>(E85-192)-('Dati (2)'!A85-Parametri!$A$11)+Parametri!$A$2</f>
      </c>
      <c r="I85" s="6">
        <f>F85</f>
      </c>
      <c r="J85" s="6">
        <f>Parametri!$D$8</f>
      </c>
    </row>
    <row x14ac:dyDescent="0.25" r="86" customHeight="1" ht="17.25">
      <c r="A86" s="4">
        <f>A85+5</f>
      </c>
      <c r="B86" s="2"/>
      <c r="C86" s="2"/>
      <c r="D86" s="5">
        <f>B86+2*E86</f>
      </c>
      <c r="E86" s="6">
        <v>840</v>
      </c>
      <c r="F86" s="6">
        <f>IF(C86=0, Parametri!$D$8, ABS(B86-C86)/(2*SQRT(3)))</f>
      </c>
      <c r="G86" s="6">
        <f>(A86-335)+135.8+(Parametri!$A$5/2)</f>
      </c>
      <c r="H86" s="6">
        <f>(E86-192)-('Dati (2)'!A86-Parametri!$A$11)+Parametri!$A$2</f>
      </c>
      <c r="I86" s="6">
        <f>F86</f>
      </c>
      <c r="J86" s="6">
        <f>Parametri!$D$8</f>
      </c>
    </row>
    <row x14ac:dyDescent="0.25" r="87" customHeight="1" ht="17.25">
      <c r="A87" s="4">
        <f>A86+5</f>
      </c>
      <c r="B87" s="2"/>
      <c r="C87" s="2"/>
      <c r="D87" s="5">
        <f>B87+2*E87</f>
      </c>
      <c r="E87" s="6">
        <v>840</v>
      </c>
      <c r="F87" s="6">
        <f>IF(C87=0, Parametri!$D$8, ABS(B87-C87)/(2*SQRT(3)))</f>
      </c>
      <c r="G87" s="6">
        <f>(A87-335)+135.8+(Parametri!$A$5/2)</f>
      </c>
      <c r="H87" s="6">
        <f>(E87-192)-('Dati (2)'!A87-Parametri!$A$11)+Parametri!$A$2</f>
      </c>
      <c r="I87" s="6">
        <f>F87</f>
      </c>
      <c r="J87" s="6">
        <f>Parametri!$D$8</f>
      </c>
    </row>
    <row x14ac:dyDescent="0.25" r="88" customHeight="1" ht="17.25">
      <c r="A88" s="4">
        <f>A87+5</f>
      </c>
      <c r="B88" s="2"/>
      <c r="C88" s="2"/>
      <c r="D88" s="5">
        <f>B88+2*E88</f>
      </c>
      <c r="E88" s="6">
        <v>840</v>
      </c>
      <c r="F88" s="6">
        <f>IF(C88=0, Parametri!$D$8, ABS(B88-C88)/(2*SQRT(3)))</f>
      </c>
      <c r="G88" s="6">
        <f>(A88-335)+135.8+(Parametri!$A$5/2)</f>
      </c>
      <c r="H88" s="6">
        <f>(E88-192)-('Dati (2)'!A88-Parametri!$A$11)+Parametri!$A$2</f>
      </c>
      <c r="I88" s="6">
        <f>F88</f>
      </c>
      <c r="J88" s="6">
        <f>Parametri!$D$8</f>
      </c>
    </row>
    <row x14ac:dyDescent="0.25" r="89" customHeight="1" ht="17.25">
      <c r="A89" s="4">
        <f>A88+5</f>
      </c>
      <c r="B89" s="2"/>
      <c r="C89" s="2"/>
      <c r="D89" s="5">
        <f>B89+2*E89</f>
      </c>
      <c r="E89" s="6">
        <v>840</v>
      </c>
      <c r="F89" s="6">
        <f>IF(C89=0, Parametri!$D$8, ABS(B89-C89)/(2*SQRT(3)))</f>
      </c>
      <c r="G89" s="6">
        <f>(A89-335)+135.8+(Parametri!$A$5/2)</f>
      </c>
      <c r="H89" s="6">
        <f>(E89-192)-('Dati (2)'!A89-Parametri!$A$11)+Parametri!$A$2</f>
      </c>
      <c r="I89" s="6">
        <f>F89</f>
      </c>
      <c r="J89" s="6">
        <f>Parametri!$D$8</f>
      </c>
    </row>
    <row x14ac:dyDescent="0.25" r="90" customHeight="1" ht="17.25">
      <c r="A90" s="4">
        <f>A89+7</f>
      </c>
      <c r="B90" s="2"/>
      <c r="C90" s="2"/>
      <c r="D90" s="5">
        <f>B90+2*E90</f>
      </c>
      <c r="E90" s="6">
        <v>840</v>
      </c>
      <c r="F90" s="6">
        <f>IF(C90=0, Parametri!$D$8, ABS(B90-C90)/(2*SQRT(3)))</f>
      </c>
      <c r="G90" s="6">
        <f>(A90-335)+135.8+(Parametri!$A$5/2)</f>
      </c>
      <c r="H90" s="6">
        <f>(E90-192)-('Dati (2)'!A90-Parametri!$A$11)+Parametri!$A$2</f>
      </c>
      <c r="I90" s="6">
        <f>F90</f>
      </c>
      <c r="J90" s="6">
        <f>Parametri!$D$8</f>
      </c>
    </row>
    <row x14ac:dyDescent="0.25" r="91" customHeight="1" ht="17.25">
      <c r="A91" s="4">
        <f>A90+7</f>
      </c>
      <c r="B91" s="2"/>
      <c r="C91" s="2"/>
      <c r="D91" s="5">
        <f>B91+2*E91</f>
      </c>
      <c r="E91" s="6">
        <v>841.5</v>
      </c>
      <c r="F91" s="6">
        <f>IF(C91=0, Parametri!$D$8, ABS(B91-C91)/(2*SQRT(3)))</f>
      </c>
      <c r="G91" s="6">
        <f>(A91-335)+135.8+(Parametri!$A$5/2)</f>
      </c>
      <c r="H91" s="6">
        <f>(E91-192)-('Dati (2)'!A91-Parametri!$A$11)+Parametri!$A$2</f>
      </c>
      <c r="I91" s="6">
        <f>F91</f>
      </c>
      <c r="J91" s="6">
        <f>Parametri!$D$8</f>
      </c>
    </row>
    <row x14ac:dyDescent="0.25" r="92" customHeight="1" ht="17.25">
      <c r="A92" s="4">
        <f>A91+7</f>
      </c>
      <c r="B92" s="2"/>
      <c r="C92" s="2"/>
      <c r="D92" s="5">
        <f>B92+2*E92</f>
      </c>
      <c r="E92" s="6">
        <v>846</v>
      </c>
      <c r="F92" s="6">
        <f>IF(C92=0, Parametri!$D$8, ABS(B92-C92)/(2*SQRT(3)))</f>
      </c>
      <c r="G92" s="6">
        <f>(A92-335)+135.8+(Parametri!$A$5/2)</f>
      </c>
      <c r="H92" s="6">
        <f>(E92-192)-('Dati (2)'!A92-Parametri!$A$11)+Parametri!$A$2</f>
      </c>
      <c r="I92" s="6">
        <f>F92</f>
      </c>
      <c r="J92" s="6">
        <f>Parametri!$D$8</f>
      </c>
    </row>
    <row x14ac:dyDescent="0.25" r="93" customHeight="1" ht="17.25">
      <c r="A93" s="4">
        <f>A92+7</f>
      </c>
      <c r="B93" s="2"/>
      <c r="C93" s="2"/>
      <c r="D93" s="5">
        <f>B93+2*E93</f>
      </c>
      <c r="E93" s="6">
        <v>844.5</v>
      </c>
      <c r="F93" s="6">
        <f>IF(C93=0, Parametri!$D$8, ABS(B93-C93)/(2*SQRT(3)))</f>
      </c>
      <c r="G93" s="6">
        <f>(A93-335)+135.8+(Parametri!$A$5/2)</f>
      </c>
      <c r="H93" s="6">
        <f>(E93-192)-('Dati (2)'!A93-Parametri!$A$11)+Parametri!$A$2</f>
      </c>
      <c r="I93" s="6">
        <f>F93</f>
      </c>
      <c r="J93" s="6">
        <f>Parametri!$D$8</f>
      </c>
    </row>
    <row x14ac:dyDescent="0.25" r="94" customHeight="1" ht="17.25">
      <c r="A94" s="4">
        <f>A93+10</f>
      </c>
      <c r="B94" s="2"/>
      <c r="C94" s="2"/>
      <c r="D94" s="5">
        <f>B94+2*E94</f>
      </c>
      <c r="E94" s="6">
        <v>850</v>
      </c>
      <c r="F94" s="6">
        <f>IF(C94=0, Parametri!$D$8, ABS(B94-C94)/(2*SQRT(3)))</f>
      </c>
      <c r="G94" s="6">
        <f>(A94-335)+135.8+(Parametri!$A$5/2)</f>
      </c>
      <c r="H94" s="6">
        <f>(E94-192)-('Dati (2)'!A94-Parametri!$A$11)+Parametri!$A$2</f>
      </c>
      <c r="I94" s="6">
        <f>F94</f>
      </c>
      <c r="J94" s="6">
        <f>Parametri!$D$8</f>
      </c>
    </row>
    <row x14ac:dyDescent="0.25" r="95" customHeight="1" ht="17.25">
      <c r="A95" s="4">
        <f>A94+10</f>
      </c>
      <c r="B95" s="2"/>
      <c r="C95" s="2"/>
      <c r="D95" s="5">
        <f>B95+2*E95</f>
      </c>
      <c r="E95" s="6">
        <v>853</v>
      </c>
      <c r="F95" s="6">
        <f>IF(C95=0, Parametri!$D$8, ABS(B95-C95)/(2*SQRT(3)))</f>
      </c>
      <c r="G95" s="6">
        <f>(A95-335)+135.8+(Parametri!$A$5/2)</f>
      </c>
      <c r="H95" s="6">
        <f>(E95-192)-('Dati (2)'!A95-Parametri!$A$11)+Parametri!$A$2</f>
      </c>
      <c r="I95" s="6">
        <f>F95</f>
      </c>
      <c r="J95" s="6">
        <f>Parametri!$D$8</f>
      </c>
    </row>
    <row x14ac:dyDescent="0.25" r="96" customHeight="1" ht="17.25">
      <c r="A96" s="4">
        <f>A95+10</f>
      </c>
      <c r="B96" s="2"/>
      <c r="C96" s="2"/>
      <c r="D96" s="5">
        <f>B96+2*E96</f>
      </c>
      <c r="E96" s="6">
        <v>856</v>
      </c>
      <c r="F96" s="6">
        <f>IF(C96=0, Parametri!$D$8, ABS(B96-C96)/(2*SQRT(3)))</f>
      </c>
      <c r="G96" s="6">
        <f>(A96-335)+135.8+(Parametri!$A$5/2)</f>
      </c>
      <c r="H96" s="6">
        <f>(E96-192)-('Dati (2)'!A96-Parametri!$A$11)+Parametri!$A$2</f>
      </c>
      <c r="I96" s="6">
        <f>F96</f>
      </c>
      <c r="J96" s="6">
        <f>Parametri!$D$8</f>
      </c>
    </row>
    <row x14ac:dyDescent="0.25" r="97" customHeight="1" ht="17.25">
      <c r="A97" s="4">
        <f>A96+10</f>
      </c>
      <c r="B97" s="2"/>
      <c r="C97" s="2"/>
      <c r="D97" s="5">
        <f>B97+2*E97</f>
      </c>
      <c r="E97" s="6">
        <v>859</v>
      </c>
      <c r="F97" s="6">
        <f>IF(C97=0, Parametri!$D$8, ABS(B97-C97)/(2*SQRT(3)))</f>
      </c>
      <c r="G97" s="6">
        <f>(A97-335)+135.8+(Parametri!$A$5/2)</f>
      </c>
      <c r="H97" s="6">
        <f>(E97-192)-('Dati (2)'!A97-Parametri!$A$11)+Parametri!$A$2</f>
      </c>
      <c r="I97" s="6">
        <f>F97</f>
      </c>
      <c r="J97" s="6">
        <f>Parametri!$D$8</f>
      </c>
    </row>
    <row x14ac:dyDescent="0.25" r="98" customHeight="1" ht="17.25">
      <c r="A98" s="4">
        <f>A97+10</f>
      </c>
      <c r="B98" s="2"/>
      <c r="C98" s="2"/>
      <c r="D98" s="5">
        <f>B98+2*E98</f>
      </c>
      <c r="E98" s="6">
        <v>858.5</v>
      </c>
      <c r="F98" s="6">
        <f>IF(C98=0, Parametri!$D$8, ABS(B98-C98)/(2*SQRT(3)))</f>
      </c>
      <c r="G98" s="6">
        <f>(A98-335)+135.8+(Parametri!$A$5/2)</f>
      </c>
      <c r="H98" s="6">
        <f>(E98-192)-('Dati (2)'!A98-Parametri!$A$11)+Parametri!$A$2</f>
      </c>
      <c r="I98" s="6">
        <f>F98</f>
      </c>
      <c r="J98" s="6">
        <f>Parametri!$D$8</f>
      </c>
    </row>
    <row x14ac:dyDescent="0.25" r="99" customHeight="1" ht="17.25">
      <c r="A99" s="4">
        <f>A98+10</f>
      </c>
      <c r="B99" s="2"/>
      <c r="C99" s="2"/>
      <c r="D99" s="5">
        <f>B99+2*E99</f>
      </c>
      <c r="E99" s="6">
        <v>874.5</v>
      </c>
      <c r="F99" s="6">
        <f>IF(C99=0, Parametri!$D$8, ABS(B99-C99)/(2*SQRT(3)))</f>
      </c>
      <c r="G99" s="6">
        <f>(A99-335)+135.8+(Parametri!$A$5/2)</f>
      </c>
      <c r="H99" s="6">
        <f>(E99-192)-('Dati (2)'!A99-Parametri!$A$11)+Parametri!$A$2</f>
      </c>
      <c r="I99" s="6">
        <f>F99</f>
      </c>
      <c r="J99" s="6">
        <f>Parametri!$D$8</f>
      </c>
    </row>
    <row x14ac:dyDescent="0.25" r="100" customHeight="1" ht="17.25">
      <c r="A100" s="4">
        <f>A99+10</f>
      </c>
      <c r="B100" s="2"/>
      <c r="C100" s="2"/>
      <c r="D100" s="5">
        <f>B100+2*E100</f>
      </c>
      <c r="E100" s="6">
        <v>876.5</v>
      </c>
      <c r="F100" s="6">
        <f>IF(C100=0, Parametri!$D$8, ABS(B100-C100)/(2*SQRT(3)))</f>
      </c>
      <c r="G100" s="6">
        <f>(A100-335)+135.8+(Parametri!$A$5/2)</f>
      </c>
      <c r="H100" s="6">
        <f>(E100-192)-('Dati (2)'!A100-Parametri!$A$11)+Parametri!$A$2</f>
      </c>
      <c r="I100" s="6">
        <f>F100</f>
      </c>
      <c r="J100" s="6">
        <f>Parametri!$D$8</f>
      </c>
    </row>
    <row x14ac:dyDescent="0.25" r="101" customHeight="1" ht="17.25">
      <c r="A101" s="4">
        <f>A100+10</f>
      </c>
      <c r="B101" s="2"/>
      <c r="C101" s="2"/>
      <c r="D101" s="5">
        <f>B101+2*E101</f>
      </c>
      <c r="E101" s="6">
        <v>884</v>
      </c>
      <c r="F101" s="6">
        <f>IF(C101=0, Parametri!$D$8, ABS(B101-C101)/(2*SQRT(3)))</f>
      </c>
      <c r="G101" s="6">
        <f>(A101-335)+135.8+(Parametri!$A$5/2)</f>
      </c>
      <c r="H101" s="6">
        <f>(E101-192)-('Dati (2)'!A101-Parametri!$A$11)+Parametri!$A$2</f>
      </c>
      <c r="I101" s="6">
        <f>F101</f>
      </c>
      <c r="J101" s="6">
        <f>Parametri!$D$8</f>
      </c>
    </row>
    <row x14ac:dyDescent="0.25" r="102" customHeight="1" ht="17.25">
      <c r="A102" s="4">
        <f>A101+10</f>
      </c>
      <c r="B102" s="2"/>
      <c r="C102" s="2"/>
      <c r="D102" s="5">
        <f>B102+2*E102</f>
      </c>
      <c r="E102" s="6">
        <v>889</v>
      </c>
      <c r="F102" s="6">
        <f>IF(C102=0, Parametri!$D$8, ABS(B102-C102)/(2*SQRT(3)))</f>
      </c>
      <c r="G102" s="6">
        <f>(A102-335)+135.8+(Parametri!$A$5/2)</f>
      </c>
      <c r="H102" s="6">
        <f>(E102-192)-('Dati (2)'!A102-Parametri!$A$11)+Parametri!$A$2</f>
      </c>
      <c r="I102" s="6">
        <f>F102</f>
      </c>
      <c r="J102" s="6">
        <f>Parametri!$D$8</f>
      </c>
    </row>
    <row x14ac:dyDescent="0.25" r="103" customHeight="1" ht="17.25">
      <c r="A103" s="4">
        <f>A102+10</f>
      </c>
      <c r="B103" s="2"/>
      <c r="C103" s="2"/>
      <c r="D103" s="5">
        <f>B103+2*E103</f>
      </c>
      <c r="E103" s="6">
        <v>894.5</v>
      </c>
      <c r="F103" s="6">
        <f>IF(C103=0, Parametri!$D$8, ABS(B103-C103)/(2*SQRT(3)))</f>
      </c>
      <c r="G103" s="6">
        <f>(A103-335)+135.8+(Parametri!$A$5/2)</f>
      </c>
      <c r="H103" s="6">
        <f>(E103-192)-('Dati (2)'!A103-Parametri!$A$11)+Parametri!$A$2</f>
      </c>
      <c r="I103" s="6">
        <f>F103</f>
      </c>
      <c r="J103" s="6">
        <f>Parametri!$D$8</f>
      </c>
    </row>
    <row x14ac:dyDescent="0.25" r="104" customHeight="1" ht="17.25">
      <c r="A104" s="4">
        <f>A103+20</f>
      </c>
      <c r="B104" s="2"/>
      <c r="C104" s="2"/>
      <c r="D104" s="5">
        <f>B104+2*E104</f>
      </c>
      <c r="E104" s="6">
        <v>906.5</v>
      </c>
      <c r="F104" s="6">
        <f>IF(C104=0, Parametri!$D$8, ABS(B104-C104)/(2*SQRT(3)))</f>
      </c>
      <c r="G104" s="6">
        <f>(A104-335)+135.8+(Parametri!$A$5/2)</f>
      </c>
      <c r="H104" s="6">
        <f>(E104-192)-('Dati (2)'!A104-Parametri!$A$11)+Parametri!$A$2</f>
      </c>
      <c r="I104" s="6">
        <f>F104</f>
      </c>
      <c r="J104" s="6">
        <f>Parametri!$D$8</f>
      </c>
    </row>
    <row x14ac:dyDescent="0.25" r="105" customHeight="1" ht="17.25">
      <c r="A105" s="4">
        <f>A104+20</f>
      </c>
      <c r="B105" s="2"/>
      <c r="C105" s="2"/>
      <c r="D105" s="5">
        <f>B105+2*E105</f>
      </c>
      <c r="E105" s="6">
        <v>924.5</v>
      </c>
      <c r="F105" s="6">
        <f>IF(C105=0, Parametri!$D$8, ABS(B105-C105)/(2*SQRT(3)))</f>
      </c>
      <c r="G105" s="6">
        <f>(A105-335)+135.8+(Parametri!$A$5/2)</f>
      </c>
      <c r="H105" s="6">
        <f>(E105-192)-('Dati (2)'!A105-Parametri!$A$11)+Parametri!$A$2</f>
      </c>
      <c r="I105" s="6">
        <f>F105</f>
      </c>
      <c r="J105" s="6">
        <f>Parametri!$D$8</f>
      </c>
    </row>
    <row x14ac:dyDescent="0.25" r="106" customHeight="1" ht="17.25">
      <c r="A106" s="4">
        <f>A105+20</f>
      </c>
      <c r="B106" s="2"/>
      <c r="C106" s="2"/>
      <c r="D106" s="5">
        <f>B106+2*E106</f>
      </c>
      <c r="E106" s="6">
        <v>937.5</v>
      </c>
      <c r="F106" s="6">
        <f>IF(C106=0, Parametri!$D$8, ABS(B106-C106)/(2*SQRT(3)))</f>
      </c>
      <c r="G106" s="6">
        <f>(A106-335)+135.8+(Parametri!$A$5/2)</f>
      </c>
      <c r="H106" s="6">
        <f>(E106-192)-('Dati (2)'!A106-Parametri!$A$11)+Parametri!$A$2</f>
      </c>
      <c r="I106" s="6">
        <f>F106</f>
      </c>
      <c r="J106" s="6">
        <f>Parametri!$D$8</f>
      </c>
    </row>
    <row x14ac:dyDescent="0.25" r="107" customHeight="1" ht="17.25">
      <c r="A107" s="4">
        <f>A106+20</f>
      </c>
      <c r="B107" s="2"/>
      <c r="C107" s="2"/>
      <c r="D107" s="5">
        <f>B107+2*E107</f>
      </c>
      <c r="E107" s="6">
        <v>952</v>
      </c>
      <c r="F107" s="6">
        <f>IF(C107=0, Parametri!$D$8, ABS(B107-C107)/(2*SQRT(3)))</f>
      </c>
      <c r="G107" s="6">
        <f>(A107-335)+135.8+(Parametri!$A$5/2)</f>
      </c>
      <c r="H107" s="6">
        <f>(E107-192)-('Dati (2)'!A107-Parametri!$A$11)+Parametri!$A$2</f>
      </c>
      <c r="I107" s="6">
        <f>F107</f>
      </c>
      <c r="J107" s="6">
        <f>Parametri!$D$8</f>
      </c>
    </row>
    <row x14ac:dyDescent="0.25" r="108" customHeight="1" ht="17.25">
      <c r="A108" s="4">
        <f>A107+20</f>
      </c>
      <c r="B108" s="2"/>
      <c r="C108" s="2"/>
      <c r="D108" s="5">
        <f>B108+2*E108</f>
      </c>
      <c r="E108" s="6">
        <v>968.5</v>
      </c>
      <c r="F108" s="6">
        <f>IF(C108=0, Parametri!$D$8, ABS(B108-C108)/(2*SQRT(3)))</f>
      </c>
      <c r="G108" s="6">
        <f>(A108-335)+135.8+(Parametri!$A$5/2)</f>
      </c>
      <c r="H108" s="6">
        <f>(E108-192)-('Dati (2)'!A108-Parametri!$A$11)+Parametri!$A$2</f>
      </c>
      <c r="I108" s="6">
        <f>F108</f>
      </c>
      <c r="J108" s="6">
        <f>Parametri!$D$8</f>
      </c>
    </row>
    <row x14ac:dyDescent="0.25" r="109" customHeight="1" ht="17.25">
      <c r="A109" s="4">
        <f>A108+20</f>
      </c>
      <c r="B109" s="2"/>
      <c r="C109" s="2"/>
      <c r="D109" s="5">
        <f>B109+2*E109</f>
      </c>
      <c r="E109" s="6">
        <v>984.5</v>
      </c>
      <c r="F109" s="6">
        <f>IF(C109=0, Parametri!$D$8, ABS(B109-C109)/(2*SQRT(3)))</f>
      </c>
      <c r="G109" s="6">
        <f>(A109-335)+135.8+(Parametri!$A$5/2)</f>
      </c>
      <c r="H109" s="6">
        <f>(E109-192)-('Dati (2)'!A109-Parametri!$A$11)+Parametri!$A$2</f>
      </c>
      <c r="I109" s="6">
        <f>F109</f>
      </c>
      <c r="J109" s="6">
        <f>Parametri!$D$8</f>
      </c>
    </row>
    <row x14ac:dyDescent="0.25" r="110" customHeight="1" ht="17.25">
      <c r="A110" s="4">
        <f>A109+20</f>
      </c>
      <c r="B110" s="2"/>
      <c r="C110" s="2"/>
      <c r="D110" s="5">
        <f>B110+2*E110</f>
      </c>
      <c r="E110" s="6">
        <v>1001</v>
      </c>
      <c r="F110" s="6">
        <f>IF(C110=0, Parametri!$D$8, ABS(B110-C110)/(2*SQRT(3)))</f>
      </c>
      <c r="G110" s="6">
        <f>(A110-335)+135.8+(Parametri!$A$5/2)</f>
      </c>
      <c r="H110" s="6">
        <f>(E110-192)-('Dati (2)'!A110-Parametri!$A$11)+Parametri!$A$2</f>
      </c>
      <c r="I110" s="6">
        <f>F110</f>
      </c>
      <c r="J110" s="6">
        <f>Parametri!$D$8</f>
      </c>
    </row>
    <row x14ac:dyDescent="0.25" r="111" customHeight="1" ht="17.25">
      <c r="A111" s="4">
        <f>A110+20</f>
      </c>
      <c r="B111" s="2"/>
      <c r="C111" s="2"/>
      <c r="D111" s="5">
        <f>B111+2*E111</f>
      </c>
      <c r="E111" s="6">
        <v>1017</v>
      </c>
      <c r="F111" s="6">
        <f>IF(C111=0, Parametri!$D$8, ABS(B111-C111)/(2*SQRT(3)))</f>
      </c>
      <c r="G111" s="6">
        <f>(A111-335)+135.8+(Parametri!$A$5/2)</f>
      </c>
      <c r="H111" s="6">
        <f>(E111-192)-('Dati (2)'!A111-Parametri!$A$11)+Parametri!$A$2</f>
      </c>
      <c r="I111" s="6">
        <f>F111</f>
      </c>
      <c r="J111" s="6">
        <f>Parametri!$D$8</f>
      </c>
    </row>
    <row x14ac:dyDescent="0.25" r="112" customHeight="1" ht="17.25">
      <c r="A112" s="4">
        <f>A111+20</f>
      </c>
      <c r="B112" s="2"/>
      <c r="C112" s="2"/>
      <c r="D112" s="5">
        <f>B112+2*E112</f>
      </c>
      <c r="E112" s="6">
        <v>1033.5</v>
      </c>
      <c r="F112" s="6">
        <f>IF(C112=0, Parametri!$D$8, ABS(B112-C112)/(2*SQRT(3)))</f>
      </c>
      <c r="G112" s="6">
        <f>(A112-335)+135.8+(Parametri!$A$5/2)</f>
      </c>
      <c r="H112" s="6">
        <f>(E112-192)-('Dati (2)'!A112-Parametri!$A$11)+Parametri!$A$2</f>
      </c>
      <c r="I112" s="6">
        <f>F112</f>
      </c>
      <c r="J112" s="6">
        <f>Parametri!$D$8</f>
      </c>
    </row>
    <row x14ac:dyDescent="0.25" r="113" customHeight="1" ht="17.25">
      <c r="A113" s="4">
        <f>A112+20</f>
      </c>
      <c r="B113" s="2"/>
      <c r="C113" s="2"/>
      <c r="D113" s="5">
        <f>B113+2*E113</f>
      </c>
      <c r="E113" s="6">
        <v>1050</v>
      </c>
      <c r="F113" s="6">
        <f>IF(C113=0, Parametri!$D$8, ABS(B113-C113)/(2*SQRT(3)))</f>
      </c>
      <c r="G113" s="6">
        <f>(A113-335)+135.8+(Parametri!$A$5/2)</f>
      </c>
      <c r="H113" s="6">
        <f>(E113-192)-('Dati (2)'!A113-Parametri!$A$11)+Parametri!$A$2</f>
      </c>
      <c r="I113" s="6">
        <f>F113</f>
      </c>
      <c r="J113" s="6">
        <f>Parametri!$D$8</f>
      </c>
    </row>
    <row x14ac:dyDescent="0.25" r="114" customHeight="1" ht="17.25">
      <c r="A114" s="4">
        <f>A113+50</f>
      </c>
      <c r="B114" s="2"/>
      <c r="C114" s="2"/>
      <c r="D114" s="5">
        <f>B114+2*E114</f>
      </c>
      <c r="E114" s="6">
        <v>1093.5</v>
      </c>
      <c r="F114" s="6">
        <f>IF(C114=0, Parametri!$D$8, ABS(B114-C114)/(2*SQRT(3)))</f>
      </c>
      <c r="G114" s="6">
        <f>(A114-335)+135.8+(Parametri!$A$5/2)</f>
      </c>
      <c r="H114" s="6">
        <f>(E114-192)-('Dati (2)'!A114-Parametri!$A$11)+Parametri!$A$2</f>
      </c>
      <c r="I114" s="6">
        <f>F114</f>
      </c>
      <c r="J114" s="6">
        <f>Parametri!$D$8</f>
      </c>
    </row>
    <row x14ac:dyDescent="0.25" r="115" customHeight="1" ht="17.25">
      <c r="A115" s="4">
        <f>A114+50</f>
      </c>
      <c r="B115" s="2"/>
      <c r="C115" s="2"/>
      <c r="D115" s="5">
        <f>B115+2*E115</f>
      </c>
      <c r="E115" s="6">
        <v>1138</v>
      </c>
      <c r="F115" s="6">
        <f>IF(C115=0, Parametri!$D$8, ABS(B115-C115)/(2*SQRT(3)))</f>
      </c>
      <c r="G115" s="6">
        <f>(A115-335)+135.8+(Parametri!$A$5/2)</f>
      </c>
      <c r="H115" s="6">
        <f>(E115-192)-('Dati (2)'!A115-Parametri!$A$11)+Parametri!$A$2</f>
      </c>
      <c r="I115" s="6">
        <f>F115</f>
      </c>
      <c r="J115" s="6">
        <f>Parametri!$D$8</f>
      </c>
    </row>
    <row x14ac:dyDescent="0.25" r="116" customHeight="1" ht="17.25">
      <c r="A116" s="4">
        <f>A115+50</f>
      </c>
      <c r="B116" s="2"/>
      <c r="C116" s="2"/>
      <c r="D116" s="5">
        <f>B116+2*E116</f>
      </c>
      <c r="E116" s="6">
        <v>1184.5</v>
      </c>
      <c r="F116" s="6">
        <f>IF(C116=0, Parametri!$D$8, ABS(B116-C116)/(2*SQRT(3)))</f>
      </c>
      <c r="G116" s="6">
        <f>(A116-335)+135.8+(Parametri!$A$5/2)</f>
      </c>
      <c r="H116" s="6">
        <f>(E116-192)-('Dati (2)'!A116-Parametri!$A$11)+Parametri!$A$2</f>
      </c>
      <c r="I116" s="6">
        <f>F116</f>
      </c>
      <c r="J116" s="6">
        <f>Parametri!$D$8</f>
      </c>
    </row>
    <row x14ac:dyDescent="0.25" r="117" customHeight="1" ht="17.25">
      <c r="A117" s="4">
        <f>A116+50</f>
      </c>
      <c r="B117" s="2"/>
      <c r="C117" s="2"/>
      <c r="D117" s="5">
        <f>B117+2*E117</f>
      </c>
      <c r="E117" s="6">
        <v>1228</v>
      </c>
      <c r="F117" s="6">
        <f>IF(C117=0, Parametri!$D$8, ABS(B117-C117)/(2*SQRT(3)))</f>
      </c>
      <c r="G117" s="6">
        <f>(A117-335)+135.8+(Parametri!$A$5/2)</f>
      </c>
      <c r="H117" s="6">
        <f>(E117-192)-('Dati (2)'!A117-Parametri!$A$11)+Parametri!$A$2</f>
      </c>
      <c r="I117" s="6">
        <f>F117</f>
      </c>
      <c r="J117" s="6">
        <f>Parametri!$D$8</f>
      </c>
    </row>
    <row x14ac:dyDescent="0.25" r="118" customHeight="1" ht="17.25">
      <c r="A118" s="4">
        <f>A117+50</f>
      </c>
      <c r="B118" s="2"/>
      <c r="C118" s="2"/>
      <c r="D118" s="5">
        <f>B118+2*E118</f>
      </c>
      <c r="E118" s="6">
        <v>1275</v>
      </c>
      <c r="F118" s="6">
        <f>IF(C118=0, Parametri!$D$8, ABS(B118-C118)/(2*SQRT(3)))</f>
      </c>
      <c r="G118" s="6">
        <f>(A118-335)+135.8+(Parametri!$A$5/2)</f>
      </c>
      <c r="H118" s="6">
        <f>(E118-192)-('Dati (2)'!A118-Parametri!$A$11)+Parametri!$A$2</f>
      </c>
      <c r="I118" s="6">
        <f>F118</f>
      </c>
      <c r="J118" s="6">
        <f>Parametri!$D$8</f>
      </c>
    </row>
    <row x14ac:dyDescent="0.25" r="119" customHeight="1" ht="17.25">
      <c r="A119" s="4">
        <f>A118+50</f>
      </c>
      <c r="B119" s="2"/>
      <c r="C119" s="2"/>
      <c r="D119" s="5">
        <f>B119+2*E119</f>
      </c>
      <c r="E119" s="6">
        <v>1323</v>
      </c>
      <c r="F119" s="6">
        <f>IF(C119=0, Parametri!$D$8, ABS(B119-C119)/(2*SQRT(3)))</f>
      </c>
      <c r="G119" s="6">
        <f>(A119-335)+135.8+(Parametri!$A$5/2)</f>
      </c>
      <c r="H119" s="6">
        <f>(E119-192)-('Dati (2)'!A119-Parametri!$A$11)+Parametri!$A$2</f>
      </c>
      <c r="I119" s="6">
        <f>F119</f>
      </c>
      <c r="J119" s="6">
        <f>Parametri!$D$8</f>
      </c>
    </row>
    <row x14ac:dyDescent="0.25" r="120" customHeight="1" ht="17.25">
      <c r="A120" s="4">
        <f>A119+100</f>
      </c>
      <c r="B120" s="2"/>
      <c r="C120" s="2"/>
      <c r="D120" s="5">
        <f>B120+2*E120</f>
      </c>
      <c r="E120" s="6">
        <v>1418</v>
      </c>
      <c r="F120" s="6">
        <f>IF(C120=0, Parametri!$D$8, ABS(B120-C120)/(2*SQRT(3)))</f>
      </c>
      <c r="G120" s="6">
        <f>(A120-335)+135.8+(Parametri!$A$5/2)</f>
      </c>
      <c r="H120" s="6">
        <f>(E120-192)-('Dati (2)'!A120-Parametri!$A$11)+Parametri!$A$2</f>
      </c>
      <c r="I120" s="6">
        <f>F120</f>
      </c>
      <c r="J120" s="6">
        <f>Parametri!$D$8</f>
      </c>
    </row>
    <row x14ac:dyDescent="0.25" r="121" customHeight="1" ht="17.25">
      <c r="A121" s="4">
        <f>A120+100</f>
      </c>
      <c r="B121" s="2"/>
      <c r="C121" s="2"/>
      <c r="D121" s="5">
        <f>B121+2*E121</f>
      </c>
      <c r="E121" s="6">
        <v>1510</v>
      </c>
      <c r="F121" s="6">
        <f>IF(C121=0, Parametri!$D$8, ABS(B121-C121)/(2*SQRT(3)))</f>
      </c>
      <c r="G121" s="6">
        <f>(A121-335)+135.8+(Parametri!$A$5/2)</f>
      </c>
      <c r="H121" s="6">
        <f>(E121-192)-('Dati (2)'!A121-Parametri!$A$11)+Parametri!$A$2</f>
      </c>
      <c r="I121" s="6">
        <f>F121</f>
      </c>
      <c r="J121" s="6">
        <f>Parametri!$D$8</f>
      </c>
    </row>
    <row x14ac:dyDescent="0.25" r="122" customHeight="1" ht="17.25">
      <c r="A122" s="4">
        <f>A121+100</f>
      </c>
      <c r="B122" s="2"/>
      <c r="C122" s="2"/>
      <c r="D122" s="5">
        <f>B122+2*E122</f>
      </c>
      <c r="E122" s="6">
        <v>1609</v>
      </c>
      <c r="F122" s="6">
        <f>IF(C122=0, Parametri!$D$8, ABS(B122-C122)/(2*SQRT(3)))</f>
      </c>
      <c r="G122" s="6">
        <f>(A122-335)+135.8+(Parametri!$A$5/2)</f>
      </c>
      <c r="H122" s="6">
        <f>(E122-192)-('Dati (2)'!A122-Parametri!$A$11)+Parametri!$A$2</f>
      </c>
      <c r="I122" s="6">
        <f>F122</f>
      </c>
      <c r="J122" s="6">
        <f>Parametri!$D$8</f>
      </c>
    </row>
    <row x14ac:dyDescent="0.25" r="123" customHeight="1" ht="17.25">
      <c r="A123" s="4">
        <f>A122+100</f>
      </c>
      <c r="B123" s="2"/>
      <c r="C123" s="2"/>
      <c r="D123" s="5">
        <f>B123+2*E123</f>
      </c>
      <c r="E123" s="6">
        <v>1707</v>
      </c>
      <c r="F123" s="6">
        <f>IF(C123=0, Parametri!$D$8, ABS(B123-C123)/(2*SQRT(3)))</f>
      </c>
      <c r="G123" s="6">
        <f>(A123-335)+135.8+(Parametri!$A$5/2)</f>
      </c>
      <c r="H123" s="6">
        <f>(E123-192)-('Dati (2)'!A123-Parametri!$A$11)+Parametri!$A$2</f>
      </c>
      <c r="I123" s="6">
        <f>F123</f>
      </c>
      <c r="J123" s="6">
        <f>Parametri!$D$8</f>
      </c>
    </row>
    <row x14ac:dyDescent="0.25" r="124" customHeight="1" ht="17.25">
      <c r="A124" s="4">
        <f>A123+100</f>
      </c>
      <c r="B124" s="2"/>
      <c r="C124" s="2"/>
      <c r="D124" s="5">
        <f>B124+2*E124</f>
      </c>
      <c r="E124" s="6">
        <v>1803</v>
      </c>
      <c r="F124" s="6">
        <f>IF(C124=0, Parametri!$D$8, ABS(B124-C124)/(2*SQRT(3)))</f>
      </c>
      <c r="G124" s="6">
        <f>(A124-335)+135.8+(Parametri!$A$5/2)</f>
      </c>
      <c r="H124" s="6">
        <f>(E124-192)-('Dati (2)'!A124-Parametri!$A$11)+Parametri!$A$2</f>
      </c>
      <c r="I124" s="6">
        <f>F124</f>
      </c>
      <c r="J124" s="6">
        <f>Parametri!$D$8</f>
      </c>
    </row>
    <row x14ac:dyDescent="0.25" r="125" customHeight="1" ht="17.25">
      <c r="A125" s="4">
        <f>A124+100</f>
      </c>
      <c r="B125" s="2"/>
      <c r="C125" s="2"/>
      <c r="D125" s="5">
        <f>B125+2*E125</f>
      </c>
      <c r="E125" s="6">
        <v>1902</v>
      </c>
      <c r="F125" s="6">
        <f>IF(C125=0, Parametri!$D$8, ABS(B125-C125)/(2*SQRT(3)))</f>
      </c>
      <c r="G125" s="6">
        <f>(A125-335)+135.8+(Parametri!$A$5/2)</f>
      </c>
      <c r="H125" s="6">
        <f>(E125-192)-('Dati (2)'!A125-Parametri!$A$11)+Parametri!$A$2</f>
      </c>
      <c r="I125" s="6">
        <f>F125</f>
      </c>
      <c r="J125" s="6">
        <f>Parametri!$D$8</f>
      </c>
    </row>
    <row x14ac:dyDescent="0.25" r="126" customHeight="1" ht="17.25">
      <c r="A126" s="10"/>
      <c r="B126" s="2"/>
      <c r="C126" s="2"/>
      <c r="D126" s="11"/>
      <c r="E126" s="10"/>
      <c r="F126" s="10"/>
      <c r="G126" s="10"/>
      <c r="H126" s="6"/>
      <c r="I126" s="10"/>
      <c r="J126" s="10"/>
    </row>
    <row x14ac:dyDescent="0.25" r="127" customHeight="1" ht="17.25">
      <c r="A127" s="10"/>
      <c r="B127" s="2"/>
      <c r="C127" s="2"/>
      <c r="D127" s="11"/>
      <c r="E127" s="10"/>
      <c r="F127" s="10"/>
      <c r="G127" s="10"/>
      <c r="H127" s="6"/>
      <c r="I127" s="10"/>
      <c r="J127" s="10"/>
    </row>
    <row x14ac:dyDescent="0.25" r="128" customHeight="1" ht="17.25">
      <c r="A128" s="10"/>
      <c r="B128" s="2"/>
      <c r="C128" s="2"/>
      <c r="D128" s="11"/>
      <c r="E128" s="10"/>
      <c r="F128" s="10"/>
      <c r="G128" s="10"/>
      <c r="H128" s="6"/>
      <c r="I128" s="10"/>
      <c r="J128" s="10"/>
    </row>
    <row x14ac:dyDescent="0.25" r="129" customHeight="1" ht="17.25">
      <c r="A129" s="10"/>
      <c r="B129" s="2"/>
      <c r="C129" s="2"/>
      <c r="D129" s="11"/>
      <c r="E129" s="10"/>
      <c r="F129" s="10"/>
      <c r="G129" s="10"/>
      <c r="H129" s="6"/>
      <c r="I129" s="10"/>
      <c r="J129" s="10"/>
    </row>
    <row x14ac:dyDescent="0.25" r="130" customHeight="1" ht="17.25">
      <c r="A130" s="10"/>
      <c r="B130" s="2"/>
      <c r="C130" s="2"/>
      <c r="D130" s="11"/>
      <c r="E130" s="10"/>
      <c r="F130" s="10"/>
      <c r="G130" s="10"/>
      <c r="H130" s="6"/>
      <c r="I130" s="10"/>
      <c r="J13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30"/>
  <sheetViews>
    <sheetView workbookViewId="0"/>
  </sheetViews>
  <sheetFormatPr defaultRowHeight="15" x14ac:dyDescent="0.25"/>
  <cols>
    <col min="1" max="1" style="7" width="12.43357142857143" customWidth="1" bestFit="1"/>
    <col min="2" max="2" style="7" width="12.43357142857143" customWidth="1" bestFit="1"/>
    <col min="3" max="3" style="8" width="12.43357142857143" customWidth="1" bestFit="1"/>
    <col min="4" max="4" style="7" width="12.43357142857143" customWidth="1" bestFit="1"/>
    <col min="5" max="5" style="7" width="12.43357142857143" customWidth="1" bestFit="1"/>
    <col min="6" max="6" style="9" width="12.43357142857143" customWidth="1" bestFit="1"/>
    <col min="7" max="7" style="7" width="12.43357142857143" customWidth="1" bestFit="1"/>
    <col min="8" max="8" style="9" width="12.43357142857143" customWidth="1" bestFit="1"/>
    <col min="9" max="9" style="9" width="12.43357142857143" customWidth="1" bestFit="1"/>
    <col min="10" max="10" style="9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3" t="s">
        <v>7</v>
      </c>
      <c r="I1" s="3" t="s">
        <v>8</v>
      </c>
      <c r="J1" s="3" t="s">
        <v>9</v>
      </c>
    </row>
    <row x14ac:dyDescent="0.25" r="2" customHeight="1" ht="17.25">
      <c r="A2" s="4">
        <v>270</v>
      </c>
      <c r="B2" s="1"/>
      <c r="C2" s="2"/>
      <c r="D2" s="5">
        <f>B2+2*E2</f>
      </c>
      <c r="E2" s="5">
        <f>IF(C2=0, B2, MEAN(B2:C2))</f>
      </c>
      <c r="F2" s="6">
        <f>IF(C2=0, Parametri!$D$8, ABS(B2-C2)/(2*SQRT(3)))</f>
      </c>
      <c r="G2" s="5">
        <f>(A2-Parametri!$A$11)+Parametri!$A$2+(Parametri!$A$5/2)</f>
      </c>
      <c r="H2" s="6">
        <f>(E2-Parametri!$A$8)-(Dati!A2-Parametri!$A$11)+Parametri!$A$2</f>
      </c>
      <c r="I2" s="6">
        <f>F2</f>
      </c>
      <c r="J2" s="6">
        <f>Parametri!$D$8</f>
      </c>
    </row>
    <row x14ac:dyDescent="0.25" r="3" customHeight="1" ht="17.25">
      <c r="A3" s="4">
        <f>A2+1</f>
      </c>
      <c r="B3" s="1"/>
      <c r="C3" s="2"/>
      <c r="D3" s="5">
        <f>B3+2*E3</f>
      </c>
      <c r="E3" s="5">
        <f>IF(C3=0, B3, MEAN(B3:C3))</f>
      </c>
      <c r="F3" s="6">
        <f>IF(C3=0, Parametri!$D$8, ABS(B3-C3)/(2*SQRT(3)))</f>
      </c>
      <c r="G3" s="5">
        <f>(A3-Parametri!$A$11)+Parametri!$A$2+(Parametri!$A$5/2)</f>
      </c>
      <c r="H3" s="6">
        <f>(E3-Parametri!$A$8)-(Dati!A3-Parametri!$A$11)+Parametri!$A$2</f>
      </c>
      <c r="I3" s="6">
        <f>F3</f>
      </c>
      <c r="J3" s="6">
        <f>Parametri!$D$8</f>
      </c>
    </row>
    <row x14ac:dyDescent="0.25" r="4" customHeight="1" ht="17.25">
      <c r="A4" s="4">
        <f>IF(C133=0, B133, MEAN(B133:C133))</f>
      </c>
      <c r="B4" s="1"/>
      <c r="C4" s="2"/>
      <c r="D4" s="5">
        <f>B4+2*E4</f>
      </c>
      <c r="E4" s="5">
        <f>IF(C4=0, B4, MEAN(B4:C4))</f>
      </c>
      <c r="F4" s="6">
        <f>IF(C4=0, Parametri!$D$8, ABS(B4-C4)/(2*SQRT(3)))</f>
      </c>
      <c r="G4" s="5">
        <f>(A4-Parametri!$A$11)+Parametri!$A$2+(Parametri!$A$5/2)</f>
      </c>
      <c r="H4" s="6">
        <f>(E4-Parametri!$A$8)-(Dati!A4-Parametri!$A$11)+Parametri!$A$2</f>
      </c>
      <c r="I4" s="6">
        <f>F4</f>
      </c>
      <c r="J4" s="6">
        <f>Parametri!$D$8</f>
      </c>
    </row>
    <row x14ac:dyDescent="0.25" r="5" customHeight="1" ht="17.25">
      <c r="A5" s="4">
        <f>IF(C134=0, B134, MEAN(B134:C134))</f>
      </c>
      <c r="B5" s="1"/>
      <c r="C5" s="2"/>
      <c r="D5" s="5">
        <f>B5+2*E5</f>
      </c>
      <c r="E5" s="5">
        <f>IF(C5=0, B5, MEAN(B5:C5))</f>
      </c>
      <c r="F5" s="6">
        <f>IF(C5=0, Parametri!$D$8, ABS(B5-C5)/(2*SQRT(3)))</f>
      </c>
      <c r="G5" s="5">
        <f>(A5-Parametri!$A$11)+Parametri!$A$2+(Parametri!$A$5/2)</f>
      </c>
      <c r="H5" s="6">
        <f>(E5-Parametri!$A$8)-(Dati!A5-Parametri!$A$11)+Parametri!$A$2</f>
      </c>
      <c r="I5" s="6">
        <f>F5</f>
      </c>
      <c r="J5" s="6">
        <f>Parametri!$D$8</f>
      </c>
    </row>
    <row x14ac:dyDescent="0.25" r="6" customHeight="1" ht="17.25">
      <c r="A6" s="4">
        <f>IF(C135=0, B135, MEAN(B135:C135))</f>
      </c>
      <c r="B6" s="1"/>
      <c r="C6" s="2"/>
      <c r="D6" s="5">
        <f>B6+2*E6</f>
      </c>
      <c r="E6" s="5">
        <f>IF(C6=0, B6, MEAN(B6:C6))</f>
      </c>
      <c r="F6" s="6">
        <f>IF(C6=0, Parametri!$D$8, ABS(B6-C6)/(2*SQRT(3)))</f>
      </c>
      <c r="G6" s="5">
        <f>(A6-Parametri!$A$11)+Parametri!$A$2+(Parametri!$A$5/2)</f>
      </c>
      <c r="H6" s="6">
        <f>(E6-Parametri!$A$8)-(Dati!A6-Parametri!$A$11)+Parametri!$A$2</f>
      </c>
      <c r="I6" s="6">
        <f>F6</f>
      </c>
      <c r="J6" s="6">
        <f>Parametri!$D$8</f>
      </c>
    </row>
    <row x14ac:dyDescent="0.25" r="7" customHeight="1" ht="17.25">
      <c r="A7" s="4">
        <f>IF(C136=0, B136, MEAN(B136:C136))</f>
      </c>
      <c r="B7" s="1"/>
      <c r="C7" s="2"/>
      <c r="D7" s="5">
        <f>B7+2*E7</f>
      </c>
      <c r="E7" s="5">
        <f>IF(C7=0, B7, MEAN(B7:C7))</f>
      </c>
      <c r="F7" s="6">
        <f>IF(C7=0, Parametri!$D$8, ABS(B7-C7)/(2*SQRT(3)))</f>
      </c>
      <c r="G7" s="5">
        <f>(A7-Parametri!$A$11)+Parametri!$A$2+(Parametri!$A$5/2)</f>
      </c>
      <c r="H7" s="6">
        <f>(E7-Parametri!$A$8)-(Dati!A7-Parametri!$A$11)+Parametri!$A$2</f>
      </c>
      <c r="I7" s="6">
        <f>F7</f>
      </c>
      <c r="J7" s="6">
        <f>Parametri!$D$8</f>
      </c>
    </row>
    <row x14ac:dyDescent="0.25" r="8" customHeight="1" ht="17.25">
      <c r="A8" s="4">
        <f>IF(C137=0, B137, MEAN(B137:C137))</f>
      </c>
      <c r="B8" s="1"/>
      <c r="C8" s="2"/>
      <c r="D8" s="5">
        <f>B8+2*E8</f>
      </c>
      <c r="E8" s="5">
        <f>IF(C8=0, B8, MEAN(B8:C8))</f>
      </c>
      <c r="F8" s="6">
        <f>IF(C8=0, Parametri!$D$8, ABS(B8-C8)/(2*SQRT(3)))</f>
      </c>
      <c r="G8" s="5">
        <f>(A8-Parametri!$A$11)+Parametri!$A$2+(Parametri!$A$5/2)</f>
      </c>
      <c r="H8" s="6">
        <f>(E8-Parametri!$A$8)-(Dati!A8-Parametri!$A$11)+Parametri!$A$2</f>
      </c>
      <c r="I8" s="6">
        <f>F8</f>
      </c>
      <c r="J8" s="6">
        <f>Parametri!$D$8</f>
      </c>
    </row>
    <row x14ac:dyDescent="0.25" r="9" customHeight="1" ht="17.25">
      <c r="A9" s="4">
        <f>IF(C138=0, B138, MEAN(B138:C138))</f>
      </c>
      <c r="B9" s="1"/>
      <c r="C9" s="2"/>
      <c r="D9" s="5">
        <f>B9+2*E9</f>
      </c>
      <c r="E9" s="5">
        <f>IF(C9=0, B9, MEAN(B9:C9))</f>
      </c>
      <c r="F9" s="6">
        <f>IF(C9=0, Parametri!$D$8, ABS(B9-C9)/(2*SQRT(3)))</f>
      </c>
      <c r="G9" s="5">
        <f>(A9-Parametri!$A$11)+Parametri!$A$2+(Parametri!$A$5/2)</f>
      </c>
      <c r="H9" s="6">
        <f>(E9-Parametri!$A$8)-(Dati!A9-Parametri!$A$11)+Parametri!$A$2</f>
      </c>
      <c r="I9" s="6">
        <f>F9</f>
      </c>
      <c r="J9" s="6">
        <f>Parametri!$D$8</f>
      </c>
    </row>
    <row x14ac:dyDescent="0.25" r="10" customHeight="1" ht="17.25">
      <c r="A10" s="4">
        <f>IF(C139=0, B139, MEAN(B139:C139))</f>
      </c>
      <c r="B10" s="1"/>
      <c r="C10" s="2"/>
      <c r="D10" s="5">
        <f>B10+2*E10</f>
      </c>
      <c r="E10" s="5">
        <f>IF(C10=0, B10, MEAN(B10:C10))</f>
      </c>
      <c r="F10" s="6">
        <f>IF(C10=0, Parametri!$D$8, ABS(B10-C10)/(2*SQRT(3)))</f>
      </c>
      <c r="G10" s="5">
        <f>(A10-Parametri!$A$11)+Parametri!$A$2+(Parametri!$A$5/2)</f>
      </c>
      <c r="H10" s="6">
        <f>(E10-Parametri!$A$8)-(Dati!A10-Parametri!$A$11)+Parametri!$A$2</f>
      </c>
      <c r="I10" s="6">
        <f>F10</f>
      </c>
      <c r="J10" s="6">
        <f>Parametri!$D$8</f>
      </c>
    </row>
    <row x14ac:dyDescent="0.25" r="11" customHeight="1" ht="17.25">
      <c r="A11" s="4">
        <f>IF(C140=0, B140, MEAN(B140:C140))</f>
      </c>
      <c r="B11" s="1"/>
      <c r="C11" s="2"/>
      <c r="D11" s="5">
        <f>B11+2*E11</f>
      </c>
      <c r="E11" s="5">
        <f>IF(C11=0, B11, MEAN(B11:C11))</f>
      </c>
      <c r="F11" s="6">
        <f>IF(C11=0, Parametri!$D$8, ABS(B11-C11)/(2*SQRT(3)))</f>
      </c>
      <c r="G11" s="5">
        <f>(A11-Parametri!$A$11)+Parametri!$A$2+(Parametri!$A$5/2)</f>
      </c>
      <c r="H11" s="6">
        <f>(E11-Parametri!$A$8)-(Dati!A11-Parametri!$A$11)+Parametri!$A$2</f>
      </c>
      <c r="I11" s="6">
        <f>F11</f>
      </c>
      <c r="J11" s="6">
        <f>Parametri!$D$8</f>
      </c>
    </row>
    <row x14ac:dyDescent="0.25" r="12" customHeight="1" ht="17.25">
      <c r="A12" s="4">
        <f>IF(C141=0, B141, MEAN(B141:C141))</f>
      </c>
      <c r="B12" s="1"/>
      <c r="C12" s="2"/>
      <c r="D12" s="5">
        <f>B12+2*E12</f>
      </c>
      <c r="E12" s="5">
        <f>IF(C12=0, B12, MEAN(B12:C12))</f>
      </c>
      <c r="F12" s="6">
        <f>IF(C12=0, Parametri!$D$8, ABS(B12-C12)/(2*SQRT(3)))</f>
      </c>
      <c r="G12" s="5">
        <f>(A12-Parametri!$A$11)+Parametri!$A$2+(Parametri!$A$5/2)</f>
      </c>
      <c r="H12" s="6">
        <f>(E12-Parametri!$A$8)-(Dati!A12-Parametri!$A$11)+Parametri!$A$2</f>
      </c>
      <c r="I12" s="6">
        <f>F12</f>
      </c>
      <c r="J12" s="6">
        <f>Parametri!$D$8</f>
      </c>
    </row>
    <row x14ac:dyDescent="0.25" r="13" customHeight="1" ht="17.25">
      <c r="A13" s="4">
        <f>IF(C142=0, B142, MEAN(B142:C142))</f>
      </c>
      <c r="B13" s="1"/>
      <c r="C13" s="2"/>
      <c r="D13" s="5">
        <f>B13+2*E13</f>
      </c>
      <c r="E13" s="5">
        <f>IF(C13=0, B13, MEAN(B13:C13))</f>
      </c>
      <c r="F13" s="6">
        <f>IF(C13=0, Parametri!$D$8, ABS(B13-C13)/(2*SQRT(3)))</f>
      </c>
      <c r="G13" s="5">
        <f>(A13-Parametri!$A$11)+Parametri!$A$2+(Parametri!$A$5/2)</f>
      </c>
      <c r="H13" s="6">
        <f>(E13-Parametri!$A$8)-(Dati!A13-Parametri!$A$11)+Parametri!$A$2</f>
      </c>
      <c r="I13" s="6">
        <f>F13</f>
      </c>
      <c r="J13" s="6">
        <f>Parametri!$D$8</f>
      </c>
    </row>
    <row x14ac:dyDescent="0.25" r="14" customHeight="1" ht="17.25">
      <c r="A14" s="4">
        <f>IF(C143=0, B143, MEAN(B143:C143))</f>
      </c>
      <c r="B14" s="1"/>
      <c r="C14" s="2"/>
      <c r="D14" s="5">
        <f>B14+2*E14</f>
      </c>
      <c r="E14" s="5">
        <f>IF(C14=0, B14, MEAN(B14:C14))</f>
      </c>
      <c r="F14" s="6">
        <f>IF(C14=0, Parametri!$D$8, ABS(B14-C14)/(2*SQRT(3)))</f>
      </c>
      <c r="G14" s="5">
        <f>(A14-Parametri!$A$11)+Parametri!$A$2+(Parametri!$A$5/2)</f>
      </c>
      <c r="H14" s="6">
        <f>(E14-Parametri!$A$8)-(Dati!A14-Parametri!$A$11)+Parametri!$A$2</f>
      </c>
      <c r="I14" s="6">
        <f>F14</f>
      </c>
      <c r="J14" s="6">
        <f>Parametri!$D$8</f>
      </c>
    </row>
    <row x14ac:dyDescent="0.25" r="15" customHeight="1" ht="17.25">
      <c r="A15" s="4">
        <f>IF(C144=0, B144, MEAN(B144:C144))</f>
      </c>
      <c r="B15" s="1"/>
      <c r="C15" s="2"/>
      <c r="D15" s="5">
        <f>B15+2*E15</f>
      </c>
      <c r="E15" s="5">
        <f>IF(C15=0, B15, MEAN(B15:C15))</f>
      </c>
      <c r="F15" s="6">
        <f>IF(C15=0, Parametri!$D$8, ABS(B15-C15)/(2*SQRT(3)))</f>
      </c>
      <c r="G15" s="5">
        <f>(A15-Parametri!$A$11)+Parametri!$A$2+(Parametri!$A$5/2)</f>
      </c>
      <c r="H15" s="6">
        <f>(E15-Parametri!$A$8)-(Dati!A15-Parametri!$A$11)+Parametri!$A$2</f>
      </c>
      <c r="I15" s="6">
        <f>F15</f>
      </c>
      <c r="J15" s="6">
        <f>Parametri!$D$8</f>
      </c>
    </row>
    <row x14ac:dyDescent="0.25" r="16" customHeight="1" ht="17.25">
      <c r="A16" s="4">
        <f>IF(C145=0, B145, MEAN(B145:C145))</f>
      </c>
      <c r="B16" s="1"/>
      <c r="C16" s="2"/>
      <c r="D16" s="5">
        <f>B16+2*E16</f>
      </c>
      <c r="E16" s="5">
        <f>IF(C16=0, B16, MEAN(B16:C16))</f>
      </c>
      <c r="F16" s="6">
        <f>IF(C16=0, Parametri!$D$8, ABS(B16-C16)/(2*SQRT(3)))</f>
      </c>
      <c r="G16" s="5">
        <f>(A16-Parametri!$A$11)+Parametri!$A$2+(Parametri!$A$5/2)</f>
      </c>
      <c r="H16" s="6">
        <f>(E16-Parametri!$A$8)-(Dati!A16-Parametri!$A$11)+Parametri!$A$2</f>
      </c>
      <c r="I16" s="6">
        <f>F16</f>
      </c>
      <c r="J16" s="6">
        <f>Parametri!$D$8</f>
      </c>
    </row>
    <row x14ac:dyDescent="0.25" r="17" customHeight="1" ht="17.25">
      <c r="A17" s="4">
        <f>IF(C146=0, B146, MEAN(B146:C146))</f>
      </c>
      <c r="B17" s="1"/>
      <c r="C17" s="2"/>
      <c r="D17" s="5">
        <f>B17+2*E17</f>
      </c>
      <c r="E17" s="5">
        <f>IF(C17=0, B17, MEAN(B17:C17))</f>
      </c>
      <c r="F17" s="6">
        <f>IF(C17=0, Parametri!$D$8, ABS(B17-C17)/(2*SQRT(3)))</f>
      </c>
      <c r="G17" s="5">
        <f>(A17-Parametri!$A$11)+Parametri!$A$2+(Parametri!$A$5/2)</f>
      </c>
      <c r="H17" s="6">
        <f>(E17-Parametri!$A$8)-(Dati!A17-Parametri!$A$11)+Parametri!$A$2</f>
      </c>
      <c r="I17" s="6">
        <f>F17</f>
      </c>
      <c r="J17" s="6">
        <f>Parametri!$D$8</f>
      </c>
    </row>
    <row x14ac:dyDescent="0.25" r="18" customHeight="1" ht="17.25">
      <c r="A18" s="4">
        <f>IF(C147=0, B147, MEAN(B147:C147))</f>
      </c>
      <c r="B18" s="1"/>
      <c r="C18" s="2"/>
      <c r="D18" s="5">
        <f>B18+2*E18</f>
      </c>
      <c r="E18" s="5">
        <f>IF(C18=0, B18, MEAN(B18:C18))</f>
      </c>
      <c r="F18" s="6">
        <f>IF(C18=0, Parametri!$D$8, ABS(B18-C18)/(2*SQRT(3)))</f>
      </c>
      <c r="G18" s="5">
        <f>(A18-Parametri!$A$11)+Parametri!$A$2+(Parametri!$A$5/2)</f>
      </c>
      <c r="H18" s="6">
        <f>(E18-Parametri!$A$8)-(Dati!A18-Parametri!$A$11)+Parametri!$A$2</f>
      </c>
      <c r="I18" s="6">
        <f>F18</f>
      </c>
      <c r="J18" s="6">
        <f>Parametri!$D$8</f>
      </c>
    </row>
    <row x14ac:dyDescent="0.25" r="19" customHeight="1" ht="17.25">
      <c r="A19" s="4">
        <f>IF(C148=0, B148, MEAN(B148:C148))</f>
      </c>
      <c r="B19" s="1"/>
      <c r="C19" s="2"/>
      <c r="D19" s="5">
        <f>B19+2*E19</f>
      </c>
      <c r="E19" s="5">
        <f>IF(C19=0, B19, MEAN(B19:C19))</f>
      </c>
      <c r="F19" s="6">
        <f>IF(C19=0, Parametri!$D$8, ABS(B19-C19)/(2*SQRT(3)))</f>
      </c>
      <c r="G19" s="5">
        <f>(A19-Parametri!$A$11)+Parametri!$A$2+(Parametri!$A$5/2)</f>
      </c>
      <c r="H19" s="6">
        <f>(E19-Parametri!$A$8)-(Dati!A19-Parametri!$A$11)+Parametri!$A$2</f>
      </c>
      <c r="I19" s="6">
        <f>F19</f>
      </c>
      <c r="J19" s="6">
        <f>Parametri!$D$8</f>
      </c>
    </row>
    <row x14ac:dyDescent="0.25" r="20" customHeight="1" ht="17.25">
      <c r="A20" s="4">
        <f>IF(C149=0, B149, MEAN(B149:C149))</f>
      </c>
      <c r="B20" s="1"/>
      <c r="C20" s="2"/>
      <c r="D20" s="5">
        <f>B20+2*E20</f>
      </c>
      <c r="E20" s="5">
        <f>IF(C20=0, B20, MEAN(B20:C20))</f>
      </c>
      <c r="F20" s="6">
        <f>IF(C20=0, Parametri!$D$8, ABS(B20-C20)/(2*SQRT(3)))</f>
      </c>
      <c r="G20" s="5">
        <f>(A20-Parametri!$A$11)+Parametri!$A$2+(Parametri!$A$5/2)</f>
      </c>
      <c r="H20" s="6">
        <f>(E20-Parametri!$A$8)-(Dati!A20-Parametri!$A$11)+Parametri!$A$2</f>
      </c>
      <c r="I20" s="6">
        <f>F20</f>
      </c>
      <c r="J20" s="6">
        <f>Parametri!$D$8</f>
      </c>
    </row>
    <row x14ac:dyDescent="0.25" r="21" customHeight="1" ht="17.25">
      <c r="A21" s="4">
        <f>IF(C150=0, B150, MEAN(B150:C150))</f>
      </c>
      <c r="B21" s="1"/>
      <c r="C21" s="2"/>
      <c r="D21" s="5">
        <f>B21+2*E21</f>
      </c>
      <c r="E21" s="5">
        <f>IF(C21=0, B21, MEAN(B21:C21))</f>
      </c>
      <c r="F21" s="6">
        <f>IF(C21=0, Parametri!$D$8, ABS(B21-C21)/(2*SQRT(3)))</f>
      </c>
      <c r="G21" s="5">
        <f>(A21-Parametri!$A$11)+Parametri!$A$2+(Parametri!$A$5/2)</f>
      </c>
      <c r="H21" s="6">
        <f>(E21-Parametri!$A$8)-(Dati!A21-Parametri!$A$11)+Parametri!$A$2</f>
      </c>
      <c r="I21" s="6">
        <f>F21</f>
      </c>
      <c r="J21" s="6">
        <f>Parametri!$D$8</f>
      </c>
    </row>
    <row x14ac:dyDescent="0.25" r="22" customHeight="1" ht="17.25">
      <c r="A22" s="4">
        <f>IF(C151=0, B151, MEAN(B151:C151))</f>
      </c>
      <c r="B22" s="1"/>
      <c r="C22" s="2"/>
      <c r="D22" s="5">
        <f>B22+2*E22</f>
      </c>
      <c r="E22" s="5">
        <f>IF(C22=0, B22, MEAN(B22:C22))</f>
      </c>
      <c r="F22" s="6">
        <f>IF(C22=0, Parametri!$D$8, ABS(B22-C22)/(2*SQRT(3)))</f>
      </c>
      <c r="G22" s="5">
        <f>(A22-Parametri!$A$11)+Parametri!$A$2+(Parametri!$A$5/2)</f>
      </c>
      <c r="H22" s="6">
        <f>(E22-Parametri!$A$8)-(Dati!A22-Parametri!$A$11)+Parametri!$A$2</f>
      </c>
      <c r="I22" s="6">
        <f>F22</f>
      </c>
      <c r="J22" s="6">
        <f>Parametri!$D$8</f>
      </c>
    </row>
    <row x14ac:dyDescent="0.25" r="23" customHeight="1" ht="17.25">
      <c r="A23" s="4">
        <f>IF(C152=0, B152, MEAN(B152:C152))</f>
      </c>
      <c r="B23" s="1"/>
      <c r="C23" s="2"/>
      <c r="D23" s="5">
        <f>B23+2*E23</f>
      </c>
      <c r="E23" s="5">
        <f>IF(C23=0, B23, MEAN(B23:C23))</f>
      </c>
      <c r="F23" s="6">
        <f>IF(C23=0, Parametri!$D$8, ABS(B23-C23)/(2*SQRT(3)))</f>
      </c>
      <c r="G23" s="5">
        <f>(A23-Parametri!$A$11)+Parametri!$A$2+(Parametri!$A$5/2)</f>
      </c>
      <c r="H23" s="6">
        <f>(E23-Parametri!$A$8)-(Dati!A23-Parametri!$A$11)+Parametri!$A$2</f>
      </c>
      <c r="I23" s="6">
        <f>F23</f>
      </c>
      <c r="J23" s="6">
        <f>Parametri!$D$8</f>
      </c>
    </row>
    <row x14ac:dyDescent="0.25" r="24" customHeight="1" ht="17.25">
      <c r="A24" s="4">
        <f>IF(C153=0, B153, MEAN(B153:C153))</f>
      </c>
      <c r="B24" s="1"/>
      <c r="C24" s="2"/>
      <c r="D24" s="5">
        <f>B24+2*E24</f>
      </c>
      <c r="E24" s="5">
        <f>IF(C24=0, B24, MEAN(B24:C24))</f>
      </c>
      <c r="F24" s="6">
        <f>IF(C24=0, Parametri!$D$8, ABS(B24-C24)/(2*SQRT(3)))</f>
      </c>
      <c r="G24" s="5">
        <f>(A24-Parametri!$A$11)+Parametri!$A$2+(Parametri!$A$5/2)</f>
      </c>
      <c r="H24" s="6">
        <f>(E24-Parametri!$A$8)-(Dati!A24-Parametri!$A$11)+Parametri!$A$2</f>
      </c>
      <c r="I24" s="6">
        <f>F24</f>
      </c>
      <c r="J24" s="6">
        <f>Parametri!$D$8</f>
      </c>
    </row>
    <row x14ac:dyDescent="0.25" r="25" customHeight="1" ht="17.25">
      <c r="A25" s="4">
        <f>IF(C154=0, B154, MEAN(B154:C154))</f>
      </c>
      <c r="B25" s="1"/>
      <c r="C25" s="2"/>
      <c r="D25" s="5">
        <f>B25+2*E25</f>
      </c>
      <c r="E25" s="5">
        <f>IF(C25=0, B25, MEAN(B25:C25))</f>
      </c>
      <c r="F25" s="6">
        <f>IF(C25=0, Parametri!$D$8, ABS(B25-C25)/(2*SQRT(3)))</f>
      </c>
      <c r="G25" s="5">
        <f>(A25-Parametri!$A$11)+Parametri!$A$2+(Parametri!$A$5/2)</f>
      </c>
      <c r="H25" s="6">
        <f>(E25-Parametri!$A$8)-(Dati!A25-Parametri!$A$11)+Parametri!$A$2</f>
      </c>
      <c r="I25" s="6">
        <f>F25</f>
      </c>
      <c r="J25" s="6">
        <f>Parametri!$D$8</f>
      </c>
    </row>
    <row x14ac:dyDescent="0.25" r="26" customHeight="1" ht="17.25">
      <c r="A26" s="4">
        <f>IF(C155=0, B155, MEAN(B155:C155))</f>
      </c>
      <c r="B26" s="1"/>
      <c r="C26" s="2"/>
      <c r="D26" s="5">
        <f>B26+2*E26</f>
      </c>
      <c r="E26" s="5">
        <f>IF(C26=0, B26, MEAN(B26:C26))</f>
      </c>
      <c r="F26" s="6">
        <f>IF(C26=0, Parametri!$D$8, ABS(B26-C26)/(2*SQRT(3)))</f>
      </c>
      <c r="G26" s="5">
        <f>(A26-Parametri!$A$11)+Parametri!$A$2+(Parametri!$A$5/2)</f>
      </c>
      <c r="H26" s="6">
        <f>(E26-Parametri!$A$8)-(Dati!A26-Parametri!$A$11)+Parametri!$A$2</f>
      </c>
      <c r="I26" s="6">
        <f>F26</f>
      </c>
      <c r="J26" s="6">
        <f>Parametri!$D$8</f>
      </c>
    </row>
    <row x14ac:dyDescent="0.25" r="27" customHeight="1" ht="17.25">
      <c r="A27" s="4">
        <f>IF(C156=0, B156, MEAN(B156:C156))</f>
      </c>
      <c r="B27" s="1"/>
      <c r="C27" s="2"/>
      <c r="D27" s="5">
        <f>B27+2*E27</f>
      </c>
      <c r="E27" s="5">
        <f>IF(C27=0, B27, MEAN(B27:C27))</f>
      </c>
      <c r="F27" s="6">
        <f>IF(C27=0, Parametri!$D$8, ABS(B27-C27)/(2*SQRT(3)))</f>
      </c>
      <c r="G27" s="5">
        <f>(A27-Parametri!$A$11)+Parametri!$A$2+(Parametri!$A$5/2)</f>
      </c>
      <c r="H27" s="6">
        <f>(E27-Parametri!$A$8)-(Dati!A27-Parametri!$A$11)+Parametri!$A$2</f>
      </c>
      <c r="I27" s="6">
        <f>F27</f>
      </c>
      <c r="J27" s="6">
        <f>Parametri!$D$8</f>
      </c>
    </row>
    <row x14ac:dyDescent="0.25" r="28" customHeight="1" ht="17.25">
      <c r="A28" s="4">
        <f>IF(C157=0, B157, MEAN(B157:C157))</f>
      </c>
      <c r="B28" s="1"/>
      <c r="C28" s="2"/>
      <c r="D28" s="5">
        <f>B28+2*E28</f>
      </c>
      <c r="E28" s="5">
        <f>IF(C28=0, B28, MEAN(B28:C28))</f>
      </c>
      <c r="F28" s="6">
        <f>IF(C28=0, Parametri!$D$8, ABS(B28-C28)/(2*SQRT(3)))</f>
      </c>
      <c r="G28" s="5">
        <f>(A28-Parametri!$A$11)+Parametri!$A$2+(Parametri!$A$5/2)</f>
      </c>
      <c r="H28" s="6">
        <f>(E28-Parametri!$A$8)-(Dati!A28-Parametri!$A$11)+Parametri!$A$2</f>
      </c>
      <c r="I28" s="6">
        <f>F28</f>
      </c>
      <c r="J28" s="6">
        <f>Parametri!$D$8</f>
      </c>
    </row>
    <row x14ac:dyDescent="0.25" r="29" customHeight="1" ht="17.25">
      <c r="A29" s="4">
        <f>IF(C158=0, B158, MEAN(B158:C158))</f>
      </c>
      <c r="B29" s="1"/>
      <c r="C29" s="2"/>
      <c r="D29" s="5">
        <f>B29+2*E29</f>
      </c>
      <c r="E29" s="5">
        <f>IF(C29=0, B29, MEAN(B29:C29))</f>
      </c>
      <c r="F29" s="6">
        <f>IF(C29=0, Parametri!$D$8, ABS(B29-C29)/(2*SQRT(3)))</f>
      </c>
      <c r="G29" s="5">
        <f>(A29-Parametri!$A$11)+Parametri!$A$2+(Parametri!$A$5/2)</f>
      </c>
      <c r="H29" s="6">
        <f>(E29-Parametri!$A$8)-(Dati!A29-Parametri!$A$11)+Parametri!$A$2</f>
      </c>
      <c r="I29" s="6">
        <f>F29</f>
      </c>
      <c r="J29" s="6">
        <f>Parametri!$D$8</f>
      </c>
    </row>
    <row x14ac:dyDescent="0.25" r="30" customHeight="1" ht="17.25">
      <c r="A30" s="4">
        <f>IF(C159=0, B159, MEAN(B159:C159))</f>
      </c>
      <c r="B30" s="1"/>
      <c r="C30" s="2"/>
      <c r="D30" s="5">
        <f>B30+2*E30</f>
      </c>
      <c r="E30" s="5">
        <f>IF(C30=0, B30, MEAN(B30:C30))</f>
      </c>
      <c r="F30" s="6">
        <f>IF(C30=0, Parametri!$D$8, ABS(B30-C30)/(2*SQRT(3)))</f>
      </c>
      <c r="G30" s="5">
        <f>(A30-Parametri!$A$11)+Parametri!$A$2+(Parametri!$A$5/2)</f>
      </c>
      <c r="H30" s="6">
        <f>(E30-Parametri!$A$8)-(Dati!A30-Parametri!$A$11)+Parametri!$A$2</f>
      </c>
      <c r="I30" s="6">
        <f>F30</f>
      </c>
      <c r="J30" s="6">
        <f>Parametri!$D$8</f>
      </c>
    </row>
    <row x14ac:dyDescent="0.25" r="31" customHeight="1" ht="17.25">
      <c r="A31" s="4">
        <f>IF(C160=0, B160, MEAN(B160:C160))</f>
      </c>
      <c r="B31" s="1"/>
      <c r="C31" s="2"/>
      <c r="D31" s="5">
        <f>B31+2*E31</f>
      </c>
      <c r="E31" s="5">
        <f>IF(C31=0, B31, MEAN(B31:C31))</f>
      </c>
      <c r="F31" s="6">
        <f>IF(C31=0, Parametri!$D$8, ABS(B31-C31)/(2*SQRT(3)))</f>
      </c>
      <c r="G31" s="5">
        <f>(A31-Parametri!$A$11)+Parametri!$A$2+(Parametri!$A$5/2)</f>
      </c>
      <c r="H31" s="6">
        <f>(E31-Parametri!$A$8)-(Dati!A31-Parametri!$A$11)+Parametri!$A$2</f>
      </c>
      <c r="I31" s="6">
        <f>F31</f>
      </c>
      <c r="J31" s="6">
        <f>Parametri!$D$8</f>
      </c>
    </row>
    <row x14ac:dyDescent="0.25" r="32" customHeight="1" ht="17.25">
      <c r="A32" s="4">
        <f>IF(C161=0, B161, MEAN(B161:C161))</f>
      </c>
      <c r="B32" s="1"/>
      <c r="C32" s="2"/>
      <c r="D32" s="5">
        <f>B32+2*E32</f>
      </c>
      <c r="E32" s="5">
        <f>IF(C32=0, B32, MEAN(B32:C32))</f>
      </c>
      <c r="F32" s="6">
        <f>IF(C32=0, Parametri!$D$8, ABS(B32-C32)/(2*SQRT(3)))</f>
      </c>
      <c r="G32" s="5">
        <f>(A32-Parametri!$A$11)+Parametri!$A$2+(Parametri!$A$5/2)</f>
      </c>
      <c r="H32" s="6">
        <f>(E32-Parametri!$A$8)-(Dati!A32-Parametri!$A$11)+Parametri!$A$2</f>
      </c>
      <c r="I32" s="6">
        <f>F32</f>
      </c>
      <c r="J32" s="6">
        <f>Parametri!$D$8</f>
      </c>
    </row>
    <row x14ac:dyDescent="0.25" r="33" customHeight="1" ht="17.25">
      <c r="A33" s="4">
        <f>IF(C162=0, B162, MEAN(B162:C162))</f>
      </c>
      <c r="B33" s="1"/>
      <c r="C33" s="2"/>
      <c r="D33" s="5">
        <f>B33+2*E33</f>
      </c>
      <c r="E33" s="5">
        <f>IF(C33=0, B33, MEAN(B33:C33))</f>
      </c>
      <c r="F33" s="6">
        <f>IF(C33=0, Parametri!$D$8, ABS(B33-C33)/(2*SQRT(3)))</f>
      </c>
      <c r="G33" s="5">
        <f>(A33-Parametri!$A$11)+Parametri!$A$2+(Parametri!$A$5/2)</f>
      </c>
      <c r="H33" s="6">
        <f>(E33-Parametri!$A$8)-(Dati!A33-Parametri!$A$11)+Parametri!$A$2</f>
      </c>
      <c r="I33" s="6">
        <f>F33</f>
      </c>
      <c r="J33" s="6">
        <f>Parametri!$D$8</f>
      </c>
    </row>
    <row x14ac:dyDescent="0.25" r="34" customHeight="1" ht="17.25">
      <c r="A34" s="4">
        <f>IF(C163=0, B163, MEAN(B163:C163))</f>
      </c>
      <c r="B34" s="1"/>
      <c r="C34" s="2"/>
      <c r="D34" s="5">
        <f>B34+2*E34</f>
      </c>
      <c r="E34" s="5">
        <f>IF(C34=0, B34, MEAN(B34:C34))</f>
      </c>
      <c r="F34" s="6">
        <f>IF(C34=0, Parametri!$D$8, ABS(B34-C34)/(2*SQRT(3)))</f>
      </c>
      <c r="G34" s="5">
        <f>(A34-Parametri!$A$11)+Parametri!$A$2+(Parametri!$A$5/2)</f>
      </c>
      <c r="H34" s="6">
        <f>(E34-Parametri!$A$8)-(Dati!A34-Parametri!$A$11)+Parametri!$A$2</f>
      </c>
      <c r="I34" s="6">
        <f>F34</f>
      </c>
      <c r="J34" s="6">
        <f>Parametri!$D$8</f>
      </c>
    </row>
    <row x14ac:dyDescent="0.25" r="35" customHeight="1" ht="17.25">
      <c r="A35" s="4">
        <f>IF(C164=0, B164, MEAN(B164:C164))</f>
      </c>
      <c r="B35" s="1"/>
      <c r="C35" s="2"/>
      <c r="D35" s="5">
        <f>B35+2*E35</f>
      </c>
      <c r="E35" s="5">
        <f>IF(C35=0, B35, MEAN(B35:C35))</f>
      </c>
      <c r="F35" s="6">
        <f>IF(C35=0, Parametri!$D$8, ABS(B35-C35)/(2*SQRT(3)))</f>
      </c>
      <c r="G35" s="5">
        <f>(A35-Parametri!$A$11)+Parametri!$A$2+(Parametri!$A$5/2)</f>
      </c>
      <c r="H35" s="6">
        <f>(E35-Parametri!$A$8)-(Dati!A35-Parametri!$A$11)+Parametri!$A$2</f>
      </c>
      <c r="I35" s="6">
        <f>F35</f>
      </c>
      <c r="J35" s="6">
        <f>Parametri!$D$8</f>
      </c>
    </row>
    <row x14ac:dyDescent="0.25" r="36" customHeight="1" ht="17.25">
      <c r="A36" s="4">
        <f>IF(C165=0, B165, MEAN(B165:C165))</f>
      </c>
      <c r="B36" s="1"/>
      <c r="C36" s="2"/>
      <c r="D36" s="5">
        <f>B36+2*E36</f>
      </c>
      <c r="E36" s="5">
        <f>IF(C36=0, B36, MEAN(B36:C36))</f>
      </c>
      <c r="F36" s="6">
        <f>IF(C36=0, Parametri!$D$8, ABS(B36-C36)/(2*SQRT(3)))</f>
      </c>
      <c r="G36" s="5">
        <f>(A36-Parametri!$A$11)+Parametri!$A$2+(Parametri!$A$5/2)</f>
      </c>
      <c r="H36" s="6">
        <f>(E36-Parametri!$A$8)-(Dati!A36-Parametri!$A$11)+Parametri!$A$2</f>
      </c>
      <c r="I36" s="6">
        <f>F36</f>
      </c>
      <c r="J36" s="6">
        <f>Parametri!$D$8</f>
      </c>
    </row>
    <row x14ac:dyDescent="0.25" r="37" customHeight="1" ht="17.25">
      <c r="A37" s="4">
        <f>IF(C166=0, B166, MEAN(B166:C166))</f>
      </c>
      <c r="B37" s="1"/>
      <c r="C37" s="2"/>
      <c r="D37" s="5">
        <f>B37+2*E37</f>
      </c>
      <c r="E37" s="5">
        <f>IF(C37=0, B37, MEAN(B37:C37))</f>
      </c>
      <c r="F37" s="6">
        <f>IF(C37=0, Parametri!$D$8, ABS(B37-C37)/(2*SQRT(3)))</f>
      </c>
      <c r="G37" s="5">
        <f>(A37-Parametri!$A$11)+Parametri!$A$2+(Parametri!$A$5/2)</f>
      </c>
      <c r="H37" s="6">
        <f>(E37-Parametri!$A$8)-(Dati!A37-Parametri!$A$11)+Parametri!$A$2</f>
      </c>
      <c r="I37" s="6">
        <f>F37</f>
      </c>
      <c r="J37" s="6">
        <f>Parametri!$D$8</f>
      </c>
    </row>
    <row x14ac:dyDescent="0.25" r="38" customHeight="1" ht="17.25">
      <c r="A38" s="4">
        <f>IF(C167=0, B167, MEAN(B167:C167))</f>
      </c>
      <c r="B38" s="1"/>
      <c r="C38" s="2"/>
      <c r="D38" s="5">
        <f>B38+2*E38</f>
      </c>
      <c r="E38" s="5">
        <f>IF(C38=0, B38, MEAN(B38:C38))</f>
      </c>
      <c r="F38" s="6">
        <f>IF(C38=0, Parametri!$D$8, ABS(B38-C38)/(2*SQRT(3)))</f>
      </c>
      <c r="G38" s="5">
        <f>(A38-Parametri!$A$11)+Parametri!$A$2+(Parametri!$A$5/2)</f>
      </c>
      <c r="H38" s="6">
        <f>(E38-Parametri!$A$8)-(Dati!A38-Parametri!$A$11)+Parametri!$A$2</f>
      </c>
      <c r="I38" s="6">
        <f>F38</f>
      </c>
      <c r="J38" s="6">
        <f>Parametri!$D$8</f>
      </c>
    </row>
    <row x14ac:dyDescent="0.25" r="39" customHeight="1" ht="17.25">
      <c r="A39" s="4">
        <f>IF(C168=0, B168, MEAN(B168:C168))</f>
      </c>
      <c r="B39" s="1"/>
      <c r="C39" s="2"/>
      <c r="D39" s="5">
        <f>B39+2*E39</f>
      </c>
      <c r="E39" s="5">
        <f>IF(C39=0, B39, MEAN(B39:C39))</f>
      </c>
      <c r="F39" s="6">
        <f>IF(C39=0, Parametri!$D$8, ABS(B39-C39)/(2*SQRT(3)))</f>
      </c>
      <c r="G39" s="5">
        <f>(A39-Parametri!$A$11)+Parametri!$A$2+(Parametri!$A$5/2)</f>
      </c>
      <c r="H39" s="6">
        <f>(E39-Parametri!$A$8)-(Dati!A39-Parametri!$A$11)+Parametri!$A$2</f>
      </c>
      <c r="I39" s="6">
        <f>F39</f>
      </c>
      <c r="J39" s="6">
        <f>Parametri!$D$8</f>
      </c>
    </row>
    <row x14ac:dyDescent="0.25" r="40" customHeight="1" ht="17.25">
      <c r="A40" s="4">
        <f>IF(C169=0, B169, MEAN(B169:C169))</f>
      </c>
      <c r="B40" s="1"/>
      <c r="C40" s="2"/>
      <c r="D40" s="5">
        <f>B40+2*E40</f>
      </c>
      <c r="E40" s="5">
        <f>IF(C40=0, B40, MEAN(B40:C40))</f>
      </c>
      <c r="F40" s="6">
        <f>IF(C40=0, Parametri!$D$8, ABS(B40-C40)/(2*SQRT(3)))</f>
      </c>
      <c r="G40" s="5">
        <f>(A40-Parametri!$A$11)+Parametri!$A$2+(Parametri!$A$5/2)</f>
      </c>
      <c r="H40" s="6">
        <f>(E40-Parametri!$A$8)-(Dati!A40-Parametri!$A$11)+Parametri!$A$2</f>
      </c>
      <c r="I40" s="6">
        <f>F40</f>
      </c>
      <c r="J40" s="6">
        <f>Parametri!$D$8</f>
      </c>
    </row>
    <row x14ac:dyDescent="0.25" r="41" customHeight="1" ht="17.25">
      <c r="A41" s="4">
        <f>IF(C170=0, B170, MEAN(B170:C170))</f>
      </c>
      <c r="B41" s="1"/>
      <c r="C41" s="2"/>
      <c r="D41" s="5">
        <f>B41+2*E41</f>
      </c>
      <c r="E41" s="5">
        <f>IF(C41=0, B41, MEAN(B41:C41))</f>
      </c>
      <c r="F41" s="6">
        <f>IF(C41=0, Parametri!$D$8, ABS(B41-C41)/(2*SQRT(3)))</f>
      </c>
      <c r="G41" s="5">
        <f>(A41-Parametri!$A$11)+Parametri!$A$2+(Parametri!$A$5/2)</f>
      </c>
      <c r="H41" s="6">
        <f>(E41-Parametri!$A$8)-(Dati!A41-Parametri!$A$11)+Parametri!$A$2</f>
      </c>
      <c r="I41" s="6">
        <f>F41</f>
      </c>
      <c r="J41" s="6">
        <f>Parametri!$D$8</f>
      </c>
    </row>
    <row x14ac:dyDescent="0.25" r="42" customHeight="1" ht="17.25">
      <c r="A42" s="4">
        <f>IF(C171=0, B171, MEAN(B171:C171))</f>
      </c>
      <c r="B42" s="1"/>
      <c r="C42" s="2"/>
      <c r="D42" s="5">
        <f>B42+2*E42</f>
      </c>
      <c r="E42" s="5">
        <f>IF(C42=0, B42, MEAN(B42:C42))</f>
      </c>
      <c r="F42" s="6">
        <f>IF(C42=0, Parametri!$D$8, ABS(B42-C42)/(2*SQRT(3)))</f>
      </c>
      <c r="G42" s="5">
        <f>(A42-Parametri!$A$11)+Parametri!$A$2+(Parametri!$A$5/2)</f>
      </c>
      <c r="H42" s="6">
        <f>(E42-Parametri!$A$8)-(Dati!A42-Parametri!$A$11)+Parametri!$A$2</f>
      </c>
      <c r="I42" s="6">
        <f>F42</f>
      </c>
      <c r="J42" s="6">
        <f>Parametri!$D$8</f>
      </c>
    </row>
    <row x14ac:dyDescent="0.25" r="43" customHeight="1" ht="17.25">
      <c r="A43" s="4">
        <f>IF(C172=0, B172, MEAN(B172:C172))</f>
      </c>
      <c r="B43" s="1"/>
      <c r="C43" s="2"/>
      <c r="D43" s="5">
        <f>B43+2*E43</f>
      </c>
      <c r="E43" s="5">
        <f>IF(C43=0, B43, MEAN(B43:C43))</f>
      </c>
      <c r="F43" s="6">
        <f>IF(C43=0, Parametri!$D$8, ABS(B43-C43)/(2*SQRT(3)))</f>
      </c>
      <c r="G43" s="5">
        <f>(A43-Parametri!$A$11)+Parametri!$A$2+(Parametri!$A$5/2)</f>
      </c>
      <c r="H43" s="6">
        <f>(E43-Parametri!$A$8)-(Dati!A43-Parametri!$A$11)+Parametri!$A$2</f>
      </c>
      <c r="I43" s="6">
        <f>F43</f>
      </c>
      <c r="J43" s="6">
        <f>Parametri!$D$8</f>
      </c>
    </row>
    <row x14ac:dyDescent="0.25" r="44" customHeight="1" ht="17.25">
      <c r="A44" s="4">
        <f>IF(C173=0, B173, MEAN(B173:C173))</f>
      </c>
      <c r="B44" s="1"/>
      <c r="C44" s="2"/>
      <c r="D44" s="5">
        <f>B44+2*E44</f>
      </c>
      <c r="E44" s="5">
        <f>IF(C44=0, B44, MEAN(B44:C44))</f>
      </c>
      <c r="F44" s="6">
        <f>IF(C44=0, Parametri!$D$8, ABS(B44-C44)/(2*SQRT(3)))</f>
      </c>
      <c r="G44" s="5">
        <f>(A44-Parametri!$A$11)+Parametri!$A$2+(Parametri!$A$5/2)</f>
      </c>
      <c r="H44" s="6">
        <f>(E44-Parametri!$A$8)-(Dati!A44-Parametri!$A$11)+Parametri!$A$2</f>
      </c>
      <c r="I44" s="6">
        <f>F44</f>
      </c>
      <c r="J44" s="6">
        <f>Parametri!$D$8</f>
      </c>
    </row>
    <row x14ac:dyDescent="0.25" r="45" customHeight="1" ht="17.25">
      <c r="A45" s="4">
        <f>IF(C174=0, B174, MEAN(B174:C174))</f>
      </c>
      <c r="B45" s="1"/>
      <c r="C45" s="2"/>
      <c r="D45" s="5">
        <f>B45+2*E45</f>
      </c>
      <c r="E45" s="5">
        <f>IF(C45=0, B45, MEAN(B45:C45))</f>
      </c>
      <c r="F45" s="6">
        <f>IF(C45=0, Parametri!$D$8, ABS(B45-C45)/(2*SQRT(3)))</f>
      </c>
      <c r="G45" s="5">
        <f>(A45-Parametri!$A$11)+Parametri!$A$2+(Parametri!$A$5/2)</f>
      </c>
      <c r="H45" s="6">
        <f>(E45-Parametri!$A$8)-(Dati!A45-Parametri!$A$11)+Parametri!$A$2</f>
      </c>
      <c r="I45" s="6">
        <f>F45</f>
      </c>
      <c r="J45" s="6">
        <f>Parametri!$D$8</f>
      </c>
    </row>
    <row x14ac:dyDescent="0.25" r="46" customHeight="1" ht="17.25">
      <c r="A46" s="4">
        <f>IF(C175=0, B175, MEAN(B175:C175))</f>
      </c>
      <c r="B46" s="1"/>
      <c r="C46" s="2"/>
      <c r="D46" s="5">
        <f>B46+2*E46</f>
      </c>
      <c r="E46" s="5">
        <f>IF(C46=0, B46, MEAN(B46:C46))</f>
      </c>
      <c r="F46" s="6">
        <f>IF(C46=0, Parametri!$D$8, ABS(B46-C46)/(2*SQRT(3)))</f>
      </c>
      <c r="G46" s="5">
        <f>(A46-Parametri!$A$11)+Parametri!$A$2+(Parametri!$A$5/2)</f>
      </c>
      <c r="H46" s="6">
        <f>(E46-Parametri!$A$8)-(Dati!A46-Parametri!$A$11)+Parametri!$A$2</f>
      </c>
      <c r="I46" s="6">
        <f>F46</f>
      </c>
      <c r="J46" s="6">
        <f>Parametri!$D$8</f>
      </c>
    </row>
    <row x14ac:dyDescent="0.25" r="47" customHeight="1" ht="17.25">
      <c r="A47" s="4">
        <f>IF(C176=0, B176, MEAN(B176:C176))</f>
      </c>
      <c r="B47" s="1"/>
      <c r="C47" s="2"/>
      <c r="D47" s="5">
        <f>B47+2*E47</f>
      </c>
      <c r="E47" s="5">
        <f>IF(C47=0, B47, MEAN(B47:C47))</f>
      </c>
      <c r="F47" s="6">
        <f>IF(C47=0, Parametri!$D$8, ABS(B47-C47)/(2*SQRT(3)))</f>
      </c>
      <c r="G47" s="5">
        <f>(A47-Parametri!$A$11)+Parametri!$A$2+(Parametri!$A$5/2)</f>
      </c>
      <c r="H47" s="6">
        <f>(E47-Parametri!$A$8)-(Dati!A47-Parametri!$A$11)+Parametri!$A$2</f>
      </c>
      <c r="I47" s="6">
        <f>F47</f>
      </c>
      <c r="J47" s="6">
        <f>Parametri!$D$8</f>
      </c>
    </row>
    <row x14ac:dyDescent="0.25" r="48" customHeight="1" ht="17.25">
      <c r="A48" s="4">
        <f>A47+2</f>
      </c>
      <c r="B48" s="1"/>
      <c r="C48" s="2"/>
      <c r="D48" s="5">
        <f>B48+2*E48</f>
      </c>
      <c r="E48" s="5">
        <f>IF(C48=0, B48, MEAN(B48:C48))</f>
      </c>
      <c r="F48" s="6">
        <f>IF(C48=0, Parametri!$D$8, ABS(B48-C48)/(2*SQRT(3)))</f>
      </c>
      <c r="G48" s="5">
        <f>(A48-Parametri!$A$11)+Parametri!$A$2+(Parametri!$A$5/2)</f>
      </c>
      <c r="H48" s="6">
        <f>(E48-Parametri!$A$8)-(Dati!A48-Parametri!$A$11)+Parametri!$A$2</f>
      </c>
      <c r="I48" s="6">
        <f>F48</f>
      </c>
      <c r="J48" s="6">
        <f>Parametri!$D$8</f>
      </c>
    </row>
    <row x14ac:dyDescent="0.25" r="49" customHeight="1" ht="17.25">
      <c r="A49" s="4">
        <f>A48+2</f>
      </c>
      <c r="B49" s="1"/>
      <c r="C49" s="2"/>
      <c r="D49" s="5">
        <f>B49+2*E49</f>
      </c>
      <c r="E49" s="5">
        <f>IF(C49=0, B49, MEAN(B49:C49))</f>
      </c>
      <c r="F49" s="6">
        <f>IF(C49=0, Parametri!$D$8, ABS(B49-C49)/(2*SQRT(3)))</f>
      </c>
      <c r="G49" s="5">
        <f>(A49-Parametri!$A$11)+Parametri!$A$2+(Parametri!$A$5/2)</f>
      </c>
      <c r="H49" s="6">
        <f>(E49-Parametri!$A$8)-(Dati!A49-Parametri!$A$11)+Parametri!$A$2</f>
      </c>
      <c r="I49" s="6">
        <f>F49</f>
      </c>
      <c r="J49" s="6">
        <f>Parametri!$D$8</f>
      </c>
    </row>
    <row x14ac:dyDescent="0.25" r="50" customHeight="1" ht="17.25">
      <c r="A50" s="4">
        <f>A49+2</f>
      </c>
      <c r="B50" s="1"/>
      <c r="C50" s="2"/>
      <c r="D50" s="5">
        <f>B50+2*E50</f>
      </c>
      <c r="E50" s="5">
        <f>IF(C50=0, B50, MEAN(B50:C50))</f>
      </c>
      <c r="F50" s="6">
        <f>IF(C50=0, Parametri!$D$8, ABS(B50-C50)/(2*SQRT(3)))</f>
      </c>
      <c r="G50" s="5">
        <f>(A50-Parametri!$A$11)+Parametri!$A$2+(Parametri!$A$5/2)</f>
      </c>
      <c r="H50" s="6">
        <f>(E50-Parametri!$A$8)-(Dati!A50-Parametri!$A$11)+Parametri!$A$2</f>
      </c>
      <c r="I50" s="6">
        <f>F50</f>
      </c>
      <c r="J50" s="6">
        <f>Parametri!$D$8</f>
      </c>
    </row>
    <row x14ac:dyDescent="0.25" r="51" customHeight="1" ht="17.25">
      <c r="A51" s="4">
        <f>A50+2</f>
      </c>
      <c r="B51" s="1"/>
      <c r="C51" s="2"/>
      <c r="D51" s="5">
        <f>B51+2*E51</f>
      </c>
      <c r="E51" s="5">
        <f>IF(C51=0, B51, MEAN(B51:C51))</f>
      </c>
      <c r="F51" s="6">
        <f>IF(C51=0, Parametri!$D$8, ABS(B51-C51)/(2*SQRT(3)))</f>
      </c>
      <c r="G51" s="5">
        <f>(A51-Parametri!$A$11)+Parametri!$A$2+(Parametri!$A$5/2)</f>
      </c>
      <c r="H51" s="6">
        <f>(E51-Parametri!$A$8)-(Dati!A51-Parametri!$A$11)+Parametri!$A$2</f>
      </c>
      <c r="I51" s="6">
        <f>F51</f>
      </c>
      <c r="J51" s="6">
        <f>Parametri!$D$8</f>
      </c>
    </row>
    <row x14ac:dyDescent="0.25" r="52" customHeight="1" ht="17.25">
      <c r="A52" s="4">
        <f>A51+2</f>
      </c>
      <c r="B52" s="1"/>
      <c r="C52" s="2"/>
      <c r="D52" s="5">
        <f>B52+2*E52</f>
      </c>
      <c r="E52" s="5">
        <f>IF(C52=0, B52, MEAN(B52:C52))</f>
      </c>
      <c r="F52" s="6">
        <f>IF(C52=0, Parametri!$D$8, ABS(B52-C52)/(2*SQRT(3)))</f>
      </c>
      <c r="G52" s="5">
        <f>(A52-Parametri!$A$11)+Parametri!$A$2+(Parametri!$A$5/2)</f>
      </c>
      <c r="H52" s="6">
        <f>(E52-Parametri!$A$8)-(Dati!A52-Parametri!$A$11)+Parametri!$A$2</f>
      </c>
      <c r="I52" s="6">
        <f>F52</f>
      </c>
      <c r="J52" s="6">
        <f>Parametri!$D$8</f>
      </c>
    </row>
    <row x14ac:dyDescent="0.25" r="53" customHeight="1" ht="17.25">
      <c r="A53" s="4">
        <f>A52+2</f>
      </c>
      <c r="B53" s="1"/>
      <c r="C53" s="2"/>
      <c r="D53" s="5">
        <f>B53+2*E53</f>
      </c>
      <c r="E53" s="5">
        <f>IF(C53=0, B53, MEAN(B53:C53))</f>
      </c>
      <c r="F53" s="6">
        <f>IF(C53=0, Parametri!$D$8, ABS(B53-C53)/(2*SQRT(3)))</f>
      </c>
      <c r="G53" s="5">
        <f>(A53-Parametri!$A$11)+Parametri!$A$2+(Parametri!$A$5/2)</f>
      </c>
      <c r="H53" s="6">
        <f>(E53-Parametri!$A$8)-(Dati!A53-Parametri!$A$11)+Parametri!$A$2</f>
      </c>
      <c r="I53" s="6">
        <f>F53</f>
      </c>
      <c r="J53" s="6">
        <f>Parametri!$D$8</f>
      </c>
    </row>
    <row x14ac:dyDescent="0.25" r="54" customHeight="1" ht="17.25">
      <c r="A54" s="4">
        <f>A53+2</f>
      </c>
      <c r="B54" s="1"/>
      <c r="C54" s="2"/>
      <c r="D54" s="5">
        <f>B54+2*E54</f>
      </c>
      <c r="E54" s="5">
        <f>IF(C54=0, B54, MEAN(B54:C54))</f>
      </c>
      <c r="F54" s="6">
        <f>IF(C54=0, Parametri!$D$8, ABS(B54-C54)/(2*SQRT(3)))</f>
      </c>
      <c r="G54" s="5">
        <f>(A54-Parametri!$A$11)+Parametri!$A$2+(Parametri!$A$5/2)</f>
      </c>
      <c r="H54" s="6">
        <f>(E54-Parametri!$A$8)-(Dati!A54-Parametri!$A$11)+Parametri!$A$2</f>
      </c>
      <c r="I54" s="6">
        <f>F54</f>
      </c>
      <c r="J54" s="6">
        <f>Parametri!$D$8</f>
      </c>
    </row>
    <row x14ac:dyDescent="0.25" r="55" customHeight="1" ht="17.25">
      <c r="A55" s="4">
        <f>A54+2</f>
      </c>
      <c r="B55" s="1"/>
      <c r="C55" s="2"/>
      <c r="D55" s="5">
        <f>B55+2*E55</f>
      </c>
      <c r="E55" s="5">
        <f>IF(C55=0, B55, MEAN(B55:C55))</f>
      </c>
      <c r="F55" s="6">
        <f>IF(C55=0, Parametri!$D$8, ABS(B55-C55)/(2*SQRT(3)))</f>
      </c>
      <c r="G55" s="5">
        <f>(A55-Parametri!$A$11)+Parametri!$A$2+(Parametri!$A$5/2)</f>
      </c>
      <c r="H55" s="6">
        <f>(E55-Parametri!$A$8)-(Dati!A55-Parametri!$A$11)+Parametri!$A$2</f>
      </c>
      <c r="I55" s="6">
        <f>F55</f>
      </c>
      <c r="J55" s="6">
        <f>Parametri!$D$8</f>
      </c>
    </row>
    <row x14ac:dyDescent="0.25" r="56" customHeight="1" ht="17.25">
      <c r="A56" s="4">
        <f>A55+2</f>
      </c>
      <c r="B56" s="1"/>
      <c r="C56" s="2"/>
      <c r="D56" s="5">
        <f>B56+2*E56</f>
      </c>
      <c r="E56" s="5">
        <f>IF(C56=0, B56, MEAN(B56:C56))</f>
      </c>
      <c r="F56" s="6">
        <f>IF(C56=0, Parametri!$D$8, ABS(B56-C56)/(2*SQRT(3)))</f>
      </c>
      <c r="G56" s="5">
        <f>(A56-Parametri!$A$11)+Parametri!$A$2+(Parametri!$A$5/2)</f>
      </c>
      <c r="H56" s="6">
        <f>(E56-Parametri!$A$8)-(Dati!A56-Parametri!$A$11)+Parametri!$A$2</f>
      </c>
      <c r="I56" s="6">
        <f>F56</f>
      </c>
      <c r="J56" s="6">
        <f>Parametri!$D$8</f>
      </c>
    </row>
    <row x14ac:dyDescent="0.25" r="57" customHeight="1" ht="17.25">
      <c r="A57" s="4">
        <f>A56+2</f>
      </c>
      <c r="B57" s="1"/>
      <c r="C57" s="2"/>
      <c r="D57" s="5">
        <f>B57+2*E57</f>
      </c>
      <c r="E57" s="5">
        <f>IF(C57=0, B57, MEAN(B57:C57))</f>
      </c>
      <c r="F57" s="6">
        <f>IF(C57=0, Parametri!$D$8, ABS(B57-C57)/(2*SQRT(3)))</f>
      </c>
      <c r="G57" s="5">
        <f>(A57-Parametri!$A$11)+Parametri!$A$2+(Parametri!$A$5/2)</f>
      </c>
      <c r="H57" s="6">
        <f>(E57-Parametri!$A$8)-(Dati!A57-Parametri!$A$11)+Parametri!$A$2</f>
      </c>
      <c r="I57" s="6">
        <f>F57</f>
      </c>
      <c r="J57" s="6">
        <f>Parametri!$D$8</f>
      </c>
    </row>
    <row x14ac:dyDescent="0.25" r="58" customHeight="1" ht="17.25">
      <c r="A58" s="4">
        <f>A57+2</f>
      </c>
      <c r="B58" s="1"/>
      <c r="C58" s="2"/>
      <c r="D58" s="5">
        <f>B58+2*E58</f>
      </c>
      <c r="E58" s="5">
        <f>IF(C58=0, B58, MEAN(B58:C58))</f>
      </c>
      <c r="F58" s="6">
        <f>IF(C58=0, Parametri!$D$8, ABS(B58-C58)/(2*SQRT(3)))</f>
      </c>
      <c r="G58" s="5">
        <f>(A58-Parametri!$A$11)+Parametri!$A$2+(Parametri!$A$5/2)</f>
      </c>
      <c r="H58" s="6">
        <f>(E58-Parametri!$A$8)-(Dati!A58-Parametri!$A$11)+Parametri!$A$2</f>
      </c>
      <c r="I58" s="6">
        <f>F58</f>
      </c>
      <c r="J58" s="6">
        <f>Parametri!$D$8</f>
      </c>
    </row>
    <row x14ac:dyDescent="0.25" r="59" customHeight="1" ht="17.25">
      <c r="A59" s="4">
        <f>A58+2</f>
      </c>
      <c r="B59" s="1"/>
      <c r="C59" s="2"/>
      <c r="D59" s="5">
        <f>B59+2*E59</f>
      </c>
      <c r="E59" s="5">
        <f>IF(C59=0, B59, MEAN(B59:C59))</f>
      </c>
      <c r="F59" s="6">
        <f>IF(C59=0, Parametri!$D$8, ABS(B59-C59)/(2*SQRT(3)))</f>
      </c>
      <c r="G59" s="5">
        <f>(A59-Parametri!$A$11)+Parametri!$A$2+(Parametri!$A$5/2)</f>
      </c>
      <c r="H59" s="6">
        <f>(E59-Parametri!$A$8)-(Dati!A59-Parametri!$A$11)+Parametri!$A$2</f>
      </c>
      <c r="I59" s="6">
        <f>F59</f>
      </c>
      <c r="J59" s="6">
        <f>Parametri!$D$8</f>
      </c>
    </row>
    <row x14ac:dyDescent="0.25" r="60" customHeight="1" ht="17.25">
      <c r="A60" s="4">
        <f>A59+2</f>
      </c>
      <c r="B60" s="1"/>
      <c r="C60" s="2"/>
      <c r="D60" s="5">
        <f>B60+2*E60</f>
      </c>
      <c r="E60" s="5">
        <f>IF(C60=0, B60, MEAN(B60:C60))</f>
      </c>
      <c r="F60" s="6">
        <f>IF(C60=0, Parametri!$D$8, ABS(B60-C60)/(2*SQRT(3)))</f>
      </c>
      <c r="G60" s="5">
        <f>(A60-Parametri!$A$11)+Parametri!$A$2+(Parametri!$A$5/2)</f>
      </c>
      <c r="H60" s="6">
        <f>(E60-Parametri!$A$8)-(Dati!A60-Parametri!$A$11)+Parametri!$A$2</f>
      </c>
      <c r="I60" s="6">
        <f>F60</f>
      </c>
      <c r="J60" s="6">
        <f>Parametri!$D$8</f>
      </c>
    </row>
    <row x14ac:dyDescent="0.25" r="61" customHeight="1" ht="17.25">
      <c r="A61" s="4">
        <f>A60+2</f>
      </c>
      <c r="B61" s="1"/>
      <c r="C61" s="2"/>
      <c r="D61" s="5">
        <f>B61+2*E61</f>
      </c>
      <c r="E61" s="5">
        <f>IF(C61=0, B61, MEAN(B61:C61))</f>
      </c>
      <c r="F61" s="6">
        <f>IF(C61=0, Parametri!$D$8, ABS(B61-C61)/(2*SQRT(3)))</f>
      </c>
      <c r="G61" s="5">
        <f>(A61-Parametri!$A$11)+Parametri!$A$2+(Parametri!$A$5/2)</f>
      </c>
      <c r="H61" s="6">
        <f>(E61-Parametri!$A$8)-(Dati!A61-Parametri!$A$11)+Parametri!$A$2</f>
      </c>
      <c r="I61" s="6">
        <f>F61</f>
      </c>
      <c r="J61" s="6">
        <f>Parametri!$D$8</f>
      </c>
    </row>
    <row x14ac:dyDescent="0.25" r="62" customHeight="1" ht="17.25">
      <c r="A62" s="4">
        <f>A61+2</f>
      </c>
      <c r="B62" s="1"/>
      <c r="C62" s="2"/>
      <c r="D62" s="5">
        <f>B62+2*E62</f>
      </c>
      <c r="E62" s="5">
        <f>IF(C62=0, B62, MEAN(B62:C62))</f>
      </c>
      <c r="F62" s="6">
        <f>IF(C62=0, Parametri!$D$8, ABS(B62-C62)/(2*SQRT(3)))</f>
      </c>
      <c r="G62" s="5">
        <f>(A62-Parametri!$A$11)+Parametri!$A$2+(Parametri!$A$5/2)</f>
      </c>
      <c r="H62" s="6">
        <f>(E62-Parametri!$A$8)-(Dati!A62-Parametri!$A$11)+Parametri!$A$2</f>
      </c>
      <c r="I62" s="6">
        <f>F62</f>
      </c>
      <c r="J62" s="6">
        <f>Parametri!$D$8</f>
      </c>
    </row>
    <row x14ac:dyDescent="0.25" r="63" customHeight="1" ht="17.25">
      <c r="A63" s="4">
        <f>A62+2</f>
      </c>
      <c r="B63" s="1"/>
      <c r="C63" s="2"/>
      <c r="D63" s="5">
        <f>B63+2*E63</f>
      </c>
      <c r="E63" s="5">
        <f>IF(C63=0, B63, MEAN(B63:C63))</f>
      </c>
      <c r="F63" s="6">
        <f>IF(C63=0, Parametri!$D$8, ABS(B63-C63)/(2*SQRT(3)))</f>
      </c>
      <c r="G63" s="5">
        <f>(A63-Parametri!$A$11)+Parametri!$A$2+(Parametri!$A$5/2)</f>
      </c>
      <c r="H63" s="6">
        <f>(E63-Parametri!$A$8)-(Dati!A63-Parametri!$A$11)+Parametri!$A$2</f>
      </c>
      <c r="I63" s="6">
        <f>F63</f>
      </c>
      <c r="J63" s="6">
        <f>Parametri!$D$8</f>
      </c>
    </row>
    <row x14ac:dyDescent="0.25" r="64" customHeight="1" ht="17.25">
      <c r="A64" s="4">
        <f>A63+2</f>
      </c>
      <c r="B64" s="1"/>
      <c r="C64" s="2"/>
      <c r="D64" s="5">
        <f>B64+2*E64</f>
      </c>
      <c r="E64" s="5">
        <f>IF(C64=0, B64, MEAN(B64:C64))</f>
      </c>
      <c r="F64" s="6">
        <f>IF(C64=0, Parametri!$D$8, ABS(B64-C64)/(2*SQRT(3)))</f>
      </c>
      <c r="G64" s="5">
        <f>(A64-Parametri!$A$11)+Parametri!$A$2+(Parametri!$A$5/2)</f>
      </c>
      <c r="H64" s="6">
        <f>(E64-Parametri!$A$8)-(Dati!A64-Parametri!$A$11)+Parametri!$A$2</f>
      </c>
      <c r="I64" s="6">
        <f>F64</f>
      </c>
      <c r="J64" s="6">
        <f>Parametri!$D$8</f>
      </c>
    </row>
    <row x14ac:dyDescent="0.25" r="65" customHeight="1" ht="17.25">
      <c r="A65" s="4">
        <f>A64+2</f>
      </c>
      <c r="B65" s="1"/>
      <c r="C65" s="2"/>
      <c r="D65" s="5">
        <f>B65+2*E65</f>
      </c>
      <c r="E65" s="5">
        <f>IF(C65=0, B65, MEAN(B65:C65))</f>
      </c>
      <c r="F65" s="6">
        <f>IF(C65=0, Parametri!$D$8, ABS(B65-C65)/(2*SQRT(3)))</f>
      </c>
      <c r="G65" s="5">
        <f>(A65-Parametri!$A$11)+Parametri!$A$2+(Parametri!$A$5/2)</f>
      </c>
      <c r="H65" s="6">
        <f>(E65-Parametri!$A$8)-(Dati!A65-Parametri!$A$11)+Parametri!$A$2</f>
      </c>
      <c r="I65" s="6">
        <f>F65</f>
      </c>
      <c r="J65" s="6">
        <f>Parametri!$D$8</f>
      </c>
    </row>
    <row x14ac:dyDescent="0.25" r="66" customHeight="1" ht="17.25">
      <c r="A66" s="4">
        <f>A65+3</f>
      </c>
      <c r="B66" s="1"/>
      <c r="C66" s="2"/>
      <c r="D66" s="5">
        <f>B66+2*E66</f>
      </c>
      <c r="E66" s="5">
        <f>IF(C66=0, B66, MEAN(B66:C66))</f>
      </c>
      <c r="F66" s="6">
        <f>IF(C66=0, Parametri!$D$8, ABS(B66-C66)/(2*SQRT(3)))</f>
      </c>
      <c r="G66" s="5">
        <f>(A66-Parametri!$A$11)+Parametri!$A$2+(Parametri!$A$5/2)</f>
      </c>
      <c r="H66" s="6">
        <f>(E66-Parametri!$A$8)-(Dati!A66-Parametri!$A$11)+Parametri!$A$2</f>
      </c>
      <c r="I66" s="6">
        <f>F66</f>
      </c>
      <c r="J66" s="6">
        <f>Parametri!$D$8</f>
      </c>
    </row>
    <row x14ac:dyDescent="0.25" r="67" customHeight="1" ht="17.25">
      <c r="A67" s="4">
        <f>A66+3</f>
      </c>
      <c r="B67" s="1"/>
      <c r="C67" s="2"/>
      <c r="D67" s="5">
        <f>B67+2*E67</f>
      </c>
      <c r="E67" s="5">
        <f>IF(C67=0, B67, MEAN(B67:C67))</f>
      </c>
      <c r="F67" s="6">
        <f>IF(C67=0, Parametri!$D$8, ABS(B67-C67)/(2*SQRT(3)))</f>
      </c>
      <c r="G67" s="5">
        <f>(A67-Parametri!$A$11)+Parametri!$A$2+(Parametri!$A$5/2)</f>
      </c>
      <c r="H67" s="6">
        <f>(E67-Parametri!$A$8)-(Dati!A67-Parametri!$A$11)+Parametri!$A$2</f>
      </c>
      <c r="I67" s="6">
        <f>F67</f>
      </c>
      <c r="J67" s="6">
        <f>Parametri!$D$8</f>
      </c>
    </row>
    <row x14ac:dyDescent="0.25" r="68" customHeight="1" ht="17.25">
      <c r="A68" s="4">
        <f>A67+3</f>
      </c>
      <c r="B68" s="1"/>
      <c r="C68" s="2"/>
      <c r="D68" s="5">
        <f>B68+2*E68</f>
      </c>
      <c r="E68" s="5">
        <f>IF(C68=0, B68, MEAN(B68:C68))</f>
      </c>
      <c r="F68" s="6">
        <f>IF(C68=0, Parametri!$D$8, ABS(B68-C68)/(2*SQRT(3)))</f>
      </c>
      <c r="G68" s="5">
        <f>(A68-Parametri!$A$11)+Parametri!$A$2+(Parametri!$A$5/2)</f>
      </c>
      <c r="H68" s="6">
        <f>(E68-Parametri!$A$8)-(Dati!A68-Parametri!$A$11)+Parametri!$A$2</f>
      </c>
      <c r="I68" s="6">
        <f>F68</f>
      </c>
      <c r="J68" s="6">
        <f>Parametri!$D$8</f>
      </c>
    </row>
    <row x14ac:dyDescent="0.25" r="69" customHeight="1" ht="17.25">
      <c r="A69" s="4">
        <f>A68+3</f>
      </c>
      <c r="B69" s="1"/>
      <c r="C69" s="2"/>
      <c r="D69" s="5">
        <f>B69+2*E69</f>
      </c>
      <c r="E69" s="5">
        <f>IF(C69=0, B69, MEAN(B69:C69))</f>
      </c>
      <c r="F69" s="6">
        <f>IF(C69=0, Parametri!$D$8, ABS(B69-C69)/(2*SQRT(3)))</f>
      </c>
      <c r="G69" s="5">
        <f>(A69-Parametri!$A$11)+Parametri!$A$2+(Parametri!$A$5/2)</f>
      </c>
      <c r="H69" s="6">
        <f>(E69-Parametri!$A$8)-(Dati!A69-Parametri!$A$11)+Parametri!$A$2</f>
      </c>
      <c r="I69" s="6">
        <f>F69</f>
      </c>
      <c r="J69" s="6">
        <f>Parametri!$D$8</f>
      </c>
    </row>
    <row x14ac:dyDescent="0.25" r="70" customHeight="1" ht="17.25">
      <c r="A70" s="4">
        <f>A69+3</f>
      </c>
      <c r="B70" s="1"/>
      <c r="C70" s="2"/>
      <c r="D70" s="5">
        <f>B70+2*E70</f>
      </c>
      <c r="E70" s="5">
        <f>IF(C70=0, B70, MEAN(B70:C70))</f>
      </c>
      <c r="F70" s="6">
        <f>IF(C70=0, Parametri!$D$8, ABS(B70-C70)/(2*SQRT(3)))</f>
      </c>
      <c r="G70" s="5">
        <f>(A70-Parametri!$A$11)+Parametri!$A$2+(Parametri!$A$5/2)</f>
      </c>
      <c r="H70" s="6">
        <f>(E70-Parametri!$A$8)-(Dati!A70-Parametri!$A$11)+Parametri!$A$2</f>
      </c>
      <c r="I70" s="6">
        <f>F70</f>
      </c>
      <c r="J70" s="6">
        <f>Parametri!$D$8</f>
      </c>
    </row>
    <row x14ac:dyDescent="0.25" r="71" customHeight="1" ht="17.25">
      <c r="A71" s="4">
        <f>A70+3</f>
      </c>
      <c r="B71" s="1"/>
      <c r="C71" s="2"/>
      <c r="D71" s="5">
        <f>B71+2*E71</f>
      </c>
      <c r="E71" s="5">
        <f>IF(C71=0, B71, MEAN(B71:C71))</f>
      </c>
      <c r="F71" s="6">
        <f>IF(C71=0, Parametri!$D$8, ABS(B71-C71)/(2*SQRT(3)))</f>
      </c>
      <c r="G71" s="5">
        <f>(A71-Parametri!$A$11)+Parametri!$A$2+(Parametri!$A$5/2)</f>
      </c>
      <c r="H71" s="6">
        <f>(E71-Parametri!$A$8)-(Dati!A71-Parametri!$A$11)+Parametri!$A$2</f>
      </c>
      <c r="I71" s="6">
        <f>F71</f>
      </c>
      <c r="J71" s="6">
        <f>Parametri!$D$8</f>
      </c>
    </row>
    <row x14ac:dyDescent="0.25" r="72" customHeight="1" ht="17.25">
      <c r="A72" s="4">
        <f>A71+3</f>
      </c>
      <c r="B72" s="1"/>
      <c r="C72" s="2"/>
      <c r="D72" s="5">
        <f>B72+2*E72</f>
      </c>
      <c r="E72" s="5">
        <f>IF(C72=0, B72, MEAN(B72:C72))</f>
      </c>
      <c r="F72" s="6">
        <f>IF(C72=0, Parametri!$D$8, ABS(B72-C72)/(2*SQRT(3)))</f>
      </c>
      <c r="G72" s="5">
        <f>(A72-Parametri!$A$11)+Parametri!$A$2+(Parametri!$A$5/2)</f>
      </c>
      <c r="H72" s="6">
        <f>(E72-Parametri!$A$8)-(Dati!A72-Parametri!$A$11)+Parametri!$A$2</f>
      </c>
      <c r="I72" s="6">
        <f>F72</f>
      </c>
      <c r="J72" s="6">
        <f>Parametri!$D$8</f>
      </c>
    </row>
    <row x14ac:dyDescent="0.25" r="73" customHeight="1" ht="17.25">
      <c r="A73" s="4">
        <f>A72+3</f>
      </c>
      <c r="B73" s="1"/>
      <c r="C73" s="2"/>
      <c r="D73" s="5">
        <f>B73+2*E73</f>
      </c>
      <c r="E73" s="5">
        <f>IF(C73=0, B73, MEAN(B73:C73))</f>
      </c>
      <c r="F73" s="6">
        <f>IF(C73=0, Parametri!$D$8, ABS(B73-C73)/(2*SQRT(3)))</f>
      </c>
      <c r="G73" s="5">
        <f>(A73-Parametri!$A$11)+Parametri!$A$2+(Parametri!$A$5/2)</f>
      </c>
      <c r="H73" s="6">
        <f>(E73-Parametri!$A$8)-(Dati!A73-Parametri!$A$11)+Parametri!$A$2</f>
      </c>
      <c r="I73" s="6">
        <f>F73</f>
      </c>
      <c r="J73" s="6">
        <f>Parametri!$D$8</f>
      </c>
    </row>
    <row x14ac:dyDescent="0.25" r="74" customHeight="1" ht="17.25">
      <c r="A74" s="4">
        <f>A73+4</f>
      </c>
      <c r="B74" s="1"/>
      <c r="C74" s="2"/>
      <c r="D74" s="5">
        <f>B74+2*E74</f>
      </c>
      <c r="E74" s="5">
        <f>IF(C74=0, B74, MEAN(B74:C74))</f>
      </c>
      <c r="F74" s="6">
        <f>IF(C74=0, Parametri!$D$8, ABS(B74-C74)/(2*SQRT(3)))</f>
      </c>
      <c r="G74" s="5">
        <f>(A74-Parametri!$A$11)+Parametri!$A$2+(Parametri!$A$5/2)</f>
      </c>
      <c r="H74" s="6">
        <f>(E74-Parametri!$A$8)-(Dati!A74-Parametri!$A$11)+Parametri!$A$2</f>
      </c>
      <c r="I74" s="6">
        <f>F74</f>
      </c>
      <c r="J74" s="6">
        <f>Parametri!$D$8</f>
      </c>
    </row>
    <row x14ac:dyDescent="0.25" r="75" customHeight="1" ht="17.25">
      <c r="A75" s="4">
        <f>A74+4</f>
      </c>
      <c r="B75" s="1"/>
      <c r="C75" s="2"/>
      <c r="D75" s="5">
        <f>B75+2*E75</f>
      </c>
      <c r="E75" s="5">
        <f>IF(C75=0, B75, MEAN(B75:C75))</f>
      </c>
      <c r="F75" s="6">
        <f>IF(C75=0, Parametri!$D$8, ABS(B75-C75)/(2*SQRT(3)))</f>
      </c>
      <c r="G75" s="5">
        <f>(A75-Parametri!$A$11)+Parametri!$A$2+(Parametri!$A$5/2)</f>
      </c>
      <c r="H75" s="6">
        <f>(E75-Parametri!$A$8)-(Dati!A75-Parametri!$A$11)+Parametri!$A$2</f>
      </c>
      <c r="I75" s="6">
        <f>F75</f>
      </c>
      <c r="J75" s="6">
        <f>Parametri!$D$8</f>
      </c>
    </row>
    <row x14ac:dyDescent="0.25" r="76" customHeight="1" ht="17.25">
      <c r="A76" s="4">
        <f>A75+4</f>
      </c>
      <c r="B76" s="1"/>
      <c r="C76" s="2"/>
      <c r="D76" s="5">
        <f>B76+2*E76</f>
      </c>
      <c r="E76" s="5">
        <f>IF(C76=0, B76, MEAN(B76:C76))</f>
      </c>
      <c r="F76" s="6">
        <f>IF(C76=0, Parametri!$D$8, ABS(B76-C76)/(2*SQRT(3)))</f>
      </c>
      <c r="G76" s="5">
        <f>(A76-Parametri!$A$11)+Parametri!$A$2+(Parametri!$A$5/2)</f>
      </c>
      <c r="H76" s="6">
        <f>(E76-Parametri!$A$8)-(Dati!A76-Parametri!$A$11)+Parametri!$A$2</f>
      </c>
      <c r="I76" s="6">
        <f>F76</f>
      </c>
      <c r="J76" s="6">
        <f>Parametri!$D$8</f>
      </c>
    </row>
    <row x14ac:dyDescent="0.25" r="77" customHeight="1" ht="17.25">
      <c r="A77" s="4">
        <f>A76+4</f>
      </c>
      <c r="B77" s="1"/>
      <c r="C77" s="2"/>
      <c r="D77" s="5">
        <f>B77+2*E77</f>
      </c>
      <c r="E77" s="5">
        <f>IF(C77=0, B77, MEAN(B77:C77))</f>
      </c>
      <c r="F77" s="6">
        <f>IF(C77=0, Parametri!$D$8, ABS(B77-C77)/(2*SQRT(3)))</f>
      </c>
      <c r="G77" s="5">
        <f>(A77-Parametri!$A$11)+Parametri!$A$2+(Parametri!$A$5/2)</f>
      </c>
      <c r="H77" s="6">
        <f>(E77-Parametri!$A$8)-(Dati!A77-Parametri!$A$11)+Parametri!$A$2</f>
      </c>
      <c r="I77" s="6">
        <f>F77</f>
      </c>
      <c r="J77" s="6">
        <f>Parametri!$D$8</f>
      </c>
    </row>
    <row x14ac:dyDescent="0.25" r="78" customHeight="1" ht="17.25">
      <c r="A78" s="4">
        <f>A77+4</f>
      </c>
      <c r="B78" s="1"/>
      <c r="C78" s="2"/>
      <c r="D78" s="5">
        <f>B78+2*E78</f>
      </c>
      <c r="E78" s="5">
        <f>IF(C78=0, B78, MEAN(B78:C78))</f>
      </c>
      <c r="F78" s="6">
        <f>IF(C78=0, Parametri!$D$8, ABS(B78-C78)/(2*SQRT(3)))</f>
      </c>
      <c r="G78" s="5">
        <f>(A78-Parametri!$A$11)+Parametri!$A$2+(Parametri!$A$5/2)</f>
      </c>
      <c r="H78" s="6">
        <f>(E78-Parametri!$A$8)-(Dati!A78-Parametri!$A$11)+Parametri!$A$2</f>
      </c>
      <c r="I78" s="6">
        <f>F78</f>
      </c>
      <c r="J78" s="6">
        <f>Parametri!$D$8</f>
      </c>
    </row>
    <row x14ac:dyDescent="0.25" r="79" customHeight="1" ht="17.25">
      <c r="A79" s="4">
        <f>A78+4</f>
      </c>
      <c r="B79" s="1"/>
      <c r="C79" s="2"/>
      <c r="D79" s="5">
        <f>B79+2*E79</f>
      </c>
      <c r="E79" s="5">
        <f>IF(C79=0, B79, MEAN(B79:C79))</f>
      </c>
      <c r="F79" s="6">
        <f>IF(C79=0, Parametri!$D$8, ABS(B79-C79)/(2*SQRT(3)))</f>
      </c>
      <c r="G79" s="5">
        <f>(A79-Parametri!$A$11)+Parametri!$A$2+(Parametri!$A$5/2)</f>
      </c>
      <c r="H79" s="6">
        <f>(E79-Parametri!$A$8)-(Dati!A79-Parametri!$A$11)+Parametri!$A$2</f>
      </c>
      <c r="I79" s="6">
        <f>F79</f>
      </c>
      <c r="J79" s="6">
        <f>Parametri!$D$8</f>
      </c>
    </row>
    <row x14ac:dyDescent="0.25" r="80" customHeight="1" ht="17.25">
      <c r="A80" s="4">
        <f>A79+4</f>
      </c>
      <c r="B80" s="1"/>
      <c r="C80" s="2"/>
      <c r="D80" s="5">
        <f>B80+2*E80</f>
      </c>
      <c r="E80" s="5">
        <f>IF(C80=0, B80, MEAN(B80:C80))</f>
      </c>
      <c r="F80" s="6">
        <f>IF(C80=0, Parametri!$D$8, ABS(B80-C80)/(2*SQRT(3)))</f>
      </c>
      <c r="G80" s="5">
        <f>(A80-Parametri!$A$11)+Parametri!$A$2+(Parametri!$A$5/2)</f>
      </c>
      <c r="H80" s="6">
        <f>(E80-Parametri!$A$8)-(Dati!A80-Parametri!$A$11)+Parametri!$A$2</f>
      </c>
      <c r="I80" s="6">
        <f>F80</f>
      </c>
      <c r="J80" s="6">
        <f>Parametri!$D$8</f>
      </c>
    </row>
    <row x14ac:dyDescent="0.25" r="81" customHeight="1" ht="17.25">
      <c r="A81" s="4">
        <f>A80+4</f>
      </c>
      <c r="B81" s="1"/>
      <c r="C81" s="2"/>
      <c r="D81" s="5">
        <f>B81+2*E81</f>
      </c>
      <c r="E81" s="5">
        <f>IF(C81=0, B81, MEAN(B81:C81))</f>
      </c>
      <c r="F81" s="6">
        <f>IF(C81=0, Parametri!$D$8, ABS(B81-C81)/(2*SQRT(3)))</f>
      </c>
      <c r="G81" s="5">
        <f>(A81-Parametri!$A$11)+Parametri!$A$2+(Parametri!$A$5/2)</f>
      </c>
      <c r="H81" s="6">
        <f>(E81-Parametri!$A$8)-(Dati!A81-Parametri!$A$11)+Parametri!$A$2</f>
      </c>
      <c r="I81" s="6">
        <f>F81</f>
      </c>
      <c r="J81" s="6">
        <f>Parametri!$D$8</f>
      </c>
    </row>
    <row x14ac:dyDescent="0.25" r="82" customHeight="1" ht="17.25">
      <c r="A82" s="4">
        <f>A81+5</f>
      </c>
      <c r="B82" s="1"/>
      <c r="C82" s="2"/>
      <c r="D82" s="5">
        <f>B82+2*E82</f>
      </c>
      <c r="E82" s="5">
        <f>IF(C82=0, B82, MEAN(B82:C82))</f>
      </c>
      <c r="F82" s="6">
        <f>IF(C82=0, Parametri!$D$8, ABS(B82-C82)/(2*SQRT(3)))</f>
      </c>
      <c r="G82" s="5">
        <f>(A82-Parametri!$A$11)+Parametri!$A$2+(Parametri!$A$5/2)</f>
      </c>
      <c r="H82" s="6">
        <f>(E82-Parametri!$A$8)-(Dati!A82-Parametri!$A$11)+Parametri!$A$2</f>
      </c>
      <c r="I82" s="6">
        <f>F82</f>
      </c>
      <c r="J82" s="6">
        <f>Parametri!$D$8</f>
      </c>
    </row>
    <row x14ac:dyDescent="0.25" r="83" customHeight="1" ht="17.25">
      <c r="A83" s="4">
        <f>A82+5</f>
      </c>
      <c r="B83" s="1"/>
      <c r="C83" s="2"/>
      <c r="D83" s="5">
        <f>B83+2*E83</f>
      </c>
      <c r="E83" s="5">
        <f>IF(C83=0, B83, MEAN(B83:C83))</f>
      </c>
      <c r="F83" s="6">
        <f>IF(C83=0, Parametri!$D$8, ABS(B83-C83)/(2*SQRT(3)))</f>
      </c>
      <c r="G83" s="5">
        <f>(A83-Parametri!$A$11)+Parametri!$A$2+(Parametri!$A$5/2)</f>
      </c>
      <c r="H83" s="6">
        <f>(E83-Parametri!$A$8)-(Dati!A83-Parametri!$A$11)+Parametri!$A$2</f>
      </c>
      <c r="I83" s="6">
        <f>F83</f>
      </c>
      <c r="J83" s="6">
        <f>Parametri!$D$8</f>
      </c>
    </row>
    <row x14ac:dyDescent="0.25" r="84" customHeight="1" ht="17.25">
      <c r="A84" s="4">
        <f>A83+5</f>
      </c>
      <c r="B84" s="1"/>
      <c r="C84" s="2"/>
      <c r="D84" s="5">
        <f>B84+2*E84</f>
      </c>
      <c r="E84" s="5">
        <f>IF(C84=0, B84, MEAN(B84:C84))</f>
      </c>
      <c r="F84" s="6">
        <f>IF(C84=0, Parametri!$D$8, ABS(B84-C84)/(2*SQRT(3)))</f>
      </c>
      <c r="G84" s="5">
        <f>(A84-Parametri!$A$11)+Parametri!$A$2+(Parametri!$A$5/2)</f>
      </c>
      <c r="H84" s="6">
        <f>(E84-Parametri!$A$8)-(Dati!A84-Parametri!$A$11)+Parametri!$A$2</f>
      </c>
      <c r="I84" s="6">
        <f>F84</f>
      </c>
      <c r="J84" s="6">
        <f>Parametri!$D$8</f>
      </c>
    </row>
    <row x14ac:dyDescent="0.25" r="85" customHeight="1" ht="17.25">
      <c r="A85" s="4">
        <f>A84+5</f>
      </c>
      <c r="B85" s="1"/>
      <c r="C85" s="2"/>
      <c r="D85" s="5">
        <f>B85+2*E85</f>
      </c>
      <c r="E85" s="5">
        <f>IF(C85=0, B85, MEAN(B85:C85))</f>
      </c>
      <c r="F85" s="6">
        <f>IF(C85=0, Parametri!$D$8, ABS(B85-C85)/(2*SQRT(3)))</f>
      </c>
      <c r="G85" s="5">
        <f>(A85-Parametri!$A$11)+Parametri!$A$2+(Parametri!$A$5/2)</f>
      </c>
      <c r="H85" s="6">
        <f>(E85-Parametri!$A$8)-(Dati!A85-Parametri!$A$11)+Parametri!$A$2</f>
      </c>
      <c r="I85" s="6">
        <f>F85</f>
      </c>
      <c r="J85" s="6">
        <f>Parametri!$D$8</f>
      </c>
    </row>
    <row x14ac:dyDescent="0.25" r="86" customHeight="1" ht="17.25">
      <c r="A86" s="4">
        <f>A85+5</f>
      </c>
      <c r="B86" s="1"/>
      <c r="C86" s="2"/>
      <c r="D86" s="5">
        <f>B86+2*E86</f>
      </c>
      <c r="E86" s="5">
        <f>IF(C86=0, B86, MEAN(B86:C86))</f>
      </c>
      <c r="F86" s="6">
        <f>IF(C86=0, Parametri!$D$8, ABS(B86-C86)/(2*SQRT(3)))</f>
      </c>
      <c r="G86" s="5">
        <f>(A86-Parametri!$A$11)+Parametri!$A$2+(Parametri!$A$5/2)</f>
      </c>
      <c r="H86" s="6">
        <f>(E86-Parametri!$A$8)-(Dati!A86-Parametri!$A$11)+Parametri!$A$2</f>
      </c>
      <c r="I86" s="6">
        <f>F86</f>
      </c>
      <c r="J86" s="6">
        <f>Parametri!$D$8</f>
      </c>
    </row>
    <row x14ac:dyDescent="0.25" r="87" customHeight="1" ht="17.25">
      <c r="A87" s="4">
        <f>A86+5</f>
      </c>
      <c r="B87" s="1"/>
      <c r="C87" s="2"/>
      <c r="D87" s="5">
        <f>B87+2*E87</f>
      </c>
      <c r="E87" s="5">
        <f>IF(C87=0, B87, MEAN(B87:C87))</f>
      </c>
      <c r="F87" s="6">
        <f>IF(C87=0, Parametri!$D$8, ABS(B87-C87)/(2*SQRT(3)))</f>
      </c>
      <c r="G87" s="5">
        <f>(A87-Parametri!$A$11)+Parametri!$A$2+(Parametri!$A$5/2)</f>
      </c>
      <c r="H87" s="6">
        <f>(E87-Parametri!$A$8)-(Dati!A87-Parametri!$A$11)+Parametri!$A$2</f>
      </c>
      <c r="I87" s="6">
        <f>F87</f>
      </c>
      <c r="J87" s="6">
        <f>Parametri!$D$8</f>
      </c>
    </row>
    <row x14ac:dyDescent="0.25" r="88" customHeight="1" ht="17.25">
      <c r="A88" s="4">
        <f>A87+5</f>
      </c>
      <c r="B88" s="1"/>
      <c r="C88" s="2"/>
      <c r="D88" s="5">
        <f>B88+2*E88</f>
      </c>
      <c r="E88" s="5">
        <f>IF(C88=0, B88, MEAN(B88:C88))</f>
      </c>
      <c r="F88" s="6">
        <f>IF(C88=0, Parametri!$D$8, ABS(B88-C88)/(2*SQRT(3)))</f>
      </c>
      <c r="G88" s="5">
        <f>(A88-Parametri!$A$11)+Parametri!$A$2+(Parametri!$A$5/2)</f>
      </c>
      <c r="H88" s="6">
        <f>(E88-Parametri!$A$8)-(Dati!A88-Parametri!$A$11)+Parametri!$A$2</f>
      </c>
      <c r="I88" s="6">
        <f>F88</f>
      </c>
      <c r="J88" s="6">
        <f>Parametri!$D$8</f>
      </c>
    </row>
    <row x14ac:dyDescent="0.25" r="89" customHeight="1" ht="17.25">
      <c r="A89" s="4">
        <f>A88+5</f>
      </c>
      <c r="B89" s="1"/>
      <c r="C89" s="2"/>
      <c r="D89" s="5">
        <f>B89+2*E89</f>
      </c>
      <c r="E89" s="5">
        <f>IF(C89=0, B89, MEAN(B89:C89))</f>
      </c>
      <c r="F89" s="6">
        <f>IF(C89=0, Parametri!$D$8, ABS(B89-C89)/(2*SQRT(3)))</f>
      </c>
      <c r="G89" s="5">
        <f>(A89-Parametri!$A$11)+Parametri!$A$2+(Parametri!$A$5/2)</f>
      </c>
      <c r="H89" s="6">
        <f>(E89-Parametri!$A$8)-(Dati!A89-Parametri!$A$11)+Parametri!$A$2</f>
      </c>
      <c r="I89" s="6">
        <f>F89</f>
      </c>
      <c r="J89" s="6">
        <f>Parametri!$D$8</f>
      </c>
    </row>
    <row x14ac:dyDescent="0.25" r="90" customHeight="1" ht="17.25">
      <c r="A90" s="4">
        <f>A89+7</f>
      </c>
      <c r="B90" s="1"/>
      <c r="C90" s="2"/>
      <c r="D90" s="5">
        <f>B90+2*E90</f>
      </c>
      <c r="E90" s="5">
        <f>IF(C90=0, B90, MEAN(B90:C90))</f>
      </c>
      <c r="F90" s="6">
        <f>IF(C90=0, Parametri!$D$8, ABS(B90-C90)/(2*SQRT(3)))</f>
      </c>
      <c r="G90" s="5">
        <f>(A90-Parametri!$A$11)+Parametri!$A$2+(Parametri!$A$5/2)</f>
      </c>
      <c r="H90" s="6">
        <f>(E90-Parametri!$A$8)-(Dati!A90-Parametri!$A$11)+Parametri!$A$2</f>
      </c>
      <c r="I90" s="6">
        <f>F90</f>
      </c>
      <c r="J90" s="6">
        <f>Parametri!$D$8</f>
      </c>
    </row>
    <row x14ac:dyDescent="0.25" r="91" customHeight="1" ht="17.25">
      <c r="A91" s="4">
        <f>A90+7</f>
      </c>
      <c r="B91" s="1"/>
      <c r="C91" s="2"/>
      <c r="D91" s="5">
        <f>B91+2*E91</f>
      </c>
      <c r="E91" s="5">
        <f>IF(C91=0, B91, MEAN(B91:C91))</f>
      </c>
      <c r="F91" s="6">
        <f>IF(C91=0, Parametri!$D$8, ABS(B91-C91)/(2*SQRT(3)))</f>
      </c>
      <c r="G91" s="5">
        <f>(A91-Parametri!$A$11)+Parametri!$A$2+(Parametri!$A$5/2)</f>
      </c>
      <c r="H91" s="6">
        <f>(E91-Parametri!$A$8)-(Dati!A91-Parametri!$A$11)+Parametri!$A$2</f>
      </c>
      <c r="I91" s="6">
        <f>F91</f>
      </c>
      <c r="J91" s="6">
        <f>Parametri!$D$8</f>
      </c>
    </row>
    <row x14ac:dyDescent="0.25" r="92" customHeight="1" ht="17.25">
      <c r="A92" s="4">
        <f>A91+7</f>
      </c>
      <c r="B92" s="1"/>
      <c r="C92" s="2"/>
      <c r="D92" s="5">
        <f>B92+2*E92</f>
      </c>
      <c r="E92" s="5">
        <f>IF(C92=0, B92, MEAN(B92:C92))</f>
      </c>
      <c r="F92" s="6">
        <f>IF(C92=0, Parametri!$D$8, ABS(B92-C92)/(2*SQRT(3)))</f>
      </c>
      <c r="G92" s="5">
        <f>(A92-Parametri!$A$11)+Parametri!$A$2+(Parametri!$A$5/2)</f>
      </c>
      <c r="H92" s="6">
        <f>(E92-Parametri!$A$8)-(Dati!A92-Parametri!$A$11)+Parametri!$A$2</f>
      </c>
      <c r="I92" s="6">
        <f>F92</f>
      </c>
      <c r="J92" s="6">
        <f>Parametri!$D$8</f>
      </c>
    </row>
    <row x14ac:dyDescent="0.25" r="93" customHeight="1" ht="17.25">
      <c r="A93" s="4">
        <f>A92+7</f>
      </c>
      <c r="B93" s="1"/>
      <c r="C93" s="2"/>
      <c r="D93" s="5">
        <f>B93+2*E93</f>
      </c>
      <c r="E93" s="5">
        <f>IF(C93=0, B93, MEAN(B93:C93))</f>
      </c>
      <c r="F93" s="6">
        <f>IF(C93=0, Parametri!$D$8, ABS(B93-C93)/(2*SQRT(3)))</f>
      </c>
      <c r="G93" s="5">
        <f>(A93-Parametri!$A$11)+Parametri!$A$2+(Parametri!$A$5/2)</f>
      </c>
      <c r="H93" s="6">
        <f>(E93-Parametri!$A$8)-(Dati!A93-Parametri!$A$11)+Parametri!$A$2</f>
      </c>
      <c r="I93" s="6">
        <f>F93</f>
      </c>
      <c r="J93" s="6">
        <f>Parametri!$D$8</f>
      </c>
    </row>
    <row x14ac:dyDescent="0.25" r="94" customHeight="1" ht="17.25">
      <c r="A94" s="4">
        <f>A93+10</f>
      </c>
      <c r="B94" s="1"/>
      <c r="C94" s="2"/>
      <c r="D94" s="5">
        <f>B94+2*E94</f>
      </c>
      <c r="E94" s="5">
        <f>IF(C94=0, B94, MEAN(B94:C94))</f>
      </c>
      <c r="F94" s="6">
        <f>IF(C94=0, Parametri!$D$8, ABS(B94-C94)/(2*SQRT(3)))</f>
      </c>
      <c r="G94" s="5">
        <f>(A94-Parametri!$A$11)+Parametri!$A$2+(Parametri!$A$5/2)</f>
      </c>
      <c r="H94" s="6">
        <f>(E94-Parametri!$A$8)-(Dati!A94-Parametri!$A$11)+Parametri!$A$2</f>
      </c>
      <c r="I94" s="6">
        <f>F94</f>
      </c>
      <c r="J94" s="6">
        <f>Parametri!$D$8</f>
      </c>
    </row>
    <row x14ac:dyDescent="0.25" r="95" customHeight="1" ht="17.25">
      <c r="A95" s="4">
        <f>A94+10</f>
      </c>
      <c r="B95" s="1"/>
      <c r="C95" s="2"/>
      <c r="D95" s="5">
        <f>B95+2*E95</f>
      </c>
      <c r="E95" s="5">
        <f>IF(C95=0, B95, MEAN(B95:C95))</f>
      </c>
      <c r="F95" s="6">
        <f>IF(C95=0, Parametri!$D$8, ABS(B95-C95)/(2*SQRT(3)))</f>
      </c>
      <c r="G95" s="5">
        <f>(A95-Parametri!$A$11)+Parametri!$A$2+(Parametri!$A$5/2)</f>
      </c>
      <c r="H95" s="6">
        <f>(E95-Parametri!$A$8)-(Dati!A95-Parametri!$A$11)+Parametri!$A$2</f>
      </c>
      <c r="I95" s="6">
        <f>F95</f>
      </c>
      <c r="J95" s="6">
        <f>Parametri!$D$8</f>
      </c>
    </row>
    <row x14ac:dyDescent="0.25" r="96" customHeight="1" ht="17.25">
      <c r="A96" s="4">
        <f>A95+10</f>
      </c>
      <c r="B96" s="1"/>
      <c r="C96" s="2"/>
      <c r="D96" s="5">
        <f>B96+2*E96</f>
      </c>
      <c r="E96" s="5">
        <f>IF(C96=0, B96, MEAN(B96:C96))</f>
      </c>
      <c r="F96" s="6">
        <f>IF(C96=0, Parametri!$D$8, ABS(B96-C96)/(2*SQRT(3)))</f>
      </c>
      <c r="G96" s="5">
        <f>(A96-Parametri!$A$11)+Parametri!$A$2+(Parametri!$A$5/2)</f>
      </c>
      <c r="H96" s="6">
        <f>(E96-Parametri!$A$8)-(Dati!A96-Parametri!$A$11)+Parametri!$A$2</f>
      </c>
      <c r="I96" s="6">
        <f>F96</f>
      </c>
      <c r="J96" s="6">
        <f>Parametri!$D$8</f>
      </c>
    </row>
    <row x14ac:dyDescent="0.25" r="97" customHeight="1" ht="17.25">
      <c r="A97" s="4">
        <f>A96+10</f>
      </c>
      <c r="B97" s="1"/>
      <c r="C97" s="2"/>
      <c r="D97" s="5">
        <f>B97+2*E97</f>
      </c>
      <c r="E97" s="5">
        <f>IF(C97=0, B97, MEAN(B97:C97))</f>
      </c>
      <c r="F97" s="6">
        <f>IF(C97=0, Parametri!$D$8, ABS(B97-C97)/(2*SQRT(3)))</f>
      </c>
      <c r="G97" s="5">
        <f>(A97-Parametri!$A$11)+Parametri!$A$2+(Parametri!$A$5/2)</f>
      </c>
      <c r="H97" s="6">
        <f>(E97-Parametri!$A$8)-(Dati!A97-Parametri!$A$11)+Parametri!$A$2</f>
      </c>
      <c r="I97" s="6">
        <f>F97</f>
      </c>
      <c r="J97" s="6">
        <f>Parametri!$D$8</f>
      </c>
    </row>
    <row x14ac:dyDescent="0.25" r="98" customHeight="1" ht="17.25">
      <c r="A98" s="4">
        <f>A97+10</f>
      </c>
      <c r="B98" s="1"/>
      <c r="C98" s="2"/>
      <c r="D98" s="5">
        <f>B98+2*E98</f>
      </c>
      <c r="E98" s="5">
        <f>IF(C98=0, B98, MEAN(B98:C98))</f>
      </c>
      <c r="F98" s="6">
        <f>IF(C98=0, Parametri!$D$8, ABS(B98-C98)/(2*SQRT(3)))</f>
      </c>
      <c r="G98" s="5">
        <f>(A98-Parametri!$A$11)+Parametri!$A$2+(Parametri!$A$5/2)</f>
      </c>
      <c r="H98" s="6">
        <f>(E98-Parametri!$A$8)-(Dati!A98-Parametri!$A$11)+Parametri!$A$2</f>
      </c>
      <c r="I98" s="6">
        <f>F98</f>
      </c>
      <c r="J98" s="6">
        <f>Parametri!$D$8</f>
      </c>
    </row>
    <row x14ac:dyDescent="0.25" r="99" customHeight="1" ht="17.25">
      <c r="A99" s="4">
        <f>A98+10</f>
      </c>
      <c r="B99" s="1"/>
      <c r="C99" s="2"/>
      <c r="D99" s="5">
        <f>B99+2*E99</f>
      </c>
      <c r="E99" s="5">
        <f>IF(C99=0, B99, MEAN(B99:C99))</f>
      </c>
      <c r="F99" s="6">
        <f>IF(C99=0, Parametri!$D$8, ABS(B99-C99)/(2*SQRT(3)))</f>
      </c>
      <c r="G99" s="5">
        <f>(A99-Parametri!$A$11)+Parametri!$A$2+(Parametri!$A$5/2)</f>
      </c>
      <c r="H99" s="6">
        <f>(E99-Parametri!$A$8)-(Dati!A99-Parametri!$A$11)+Parametri!$A$2</f>
      </c>
      <c r="I99" s="6">
        <f>F99</f>
      </c>
      <c r="J99" s="6">
        <f>Parametri!$D$8</f>
      </c>
    </row>
    <row x14ac:dyDescent="0.25" r="100" customHeight="1" ht="17.25">
      <c r="A100" s="4">
        <f>A99+10</f>
      </c>
      <c r="B100" s="1"/>
      <c r="C100" s="2"/>
      <c r="D100" s="5">
        <f>B100+2*E100</f>
      </c>
      <c r="E100" s="5">
        <f>IF(C100=0, B100, MEAN(B100:C100))</f>
      </c>
      <c r="F100" s="6">
        <f>IF(C100=0, Parametri!$D$8, ABS(B100-C100)/(2*SQRT(3)))</f>
      </c>
      <c r="G100" s="5">
        <f>(A100-Parametri!$A$11)+Parametri!$A$2+(Parametri!$A$5/2)</f>
      </c>
      <c r="H100" s="6">
        <f>(E100-Parametri!$A$8)-(Dati!A100-Parametri!$A$11)+Parametri!$A$2</f>
      </c>
      <c r="I100" s="6">
        <f>F100</f>
      </c>
      <c r="J100" s="6">
        <f>Parametri!$D$8</f>
      </c>
    </row>
    <row x14ac:dyDescent="0.25" r="101" customHeight="1" ht="17.25">
      <c r="A101" s="4">
        <f>A100+10</f>
      </c>
      <c r="B101" s="1"/>
      <c r="C101" s="2"/>
      <c r="D101" s="5">
        <f>B101+2*E101</f>
      </c>
      <c r="E101" s="5">
        <f>IF(C101=0, B101, MEAN(B101:C101))</f>
      </c>
      <c r="F101" s="6">
        <f>IF(C101=0, Parametri!$D$8, ABS(B101-C101)/(2*SQRT(3)))</f>
      </c>
      <c r="G101" s="5">
        <f>(A101-Parametri!$A$11)+Parametri!$A$2+(Parametri!$A$5/2)</f>
      </c>
      <c r="H101" s="6">
        <f>(E101-Parametri!$A$8)-(Dati!A101-Parametri!$A$11)+Parametri!$A$2</f>
      </c>
      <c r="I101" s="6">
        <f>F101</f>
      </c>
      <c r="J101" s="6">
        <f>Parametri!$D$8</f>
      </c>
    </row>
    <row x14ac:dyDescent="0.25" r="102" customHeight="1" ht="17.25">
      <c r="A102" s="4">
        <f>A101+10</f>
      </c>
      <c r="B102" s="1"/>
      <c r="C102" s="2"/>
      <c r="D102" s="5">
        <f>B102+2*E102</f>
      </c>
      <c r="E102" s="5">
        <f>IF(C102=0, B102, MEAN(B102:C102))</f>
      </c>
      <c r="F102" s="6">
        <f>IF(C102=0, Parametri!$D$8, ABS(B102-C102)/(2*SQRT(3)))</f>
      </c>
      <c r="G102" s="5">
        <f>(A102-Parametri!$A$11)+Parametri!$A$2+(Parametri!$A$5/2)</f>
      </c>
      <c r="H102" s="6">
        <f>(E102-Parametri!$A$8)-(Dati!A102-Parametri!$A$11)+Parametri!$A$2</f>
      </c>
      <c r="I102" s="6">
        <f>F102</f>
      </c>
      <c r="J102" s="6">
        <f>Parametri!$D$8</f>
      </c>
    </row>
    <row x14ac:dyDescent="0.25" r="103" customHeight="1" ht="17.25">
      <c r="A103" s="4">
        <f>A102+10</f>
      </c>
      <c r="B103" s="1"/>
      <c r="C103" s="2"/>
      <c r="D103" s="5">
        <f>B103+2*E103</f>
      </c>
      <c r="E103" s="5">
        <f>IF(C103=0, B103, MEAN(B103:C103))</f>
      </c>
      <c r="F103" s="6">
        <f>IF(C103=0, Parametri!$D$8, ABS(B103-C103)/(2*SQRT(3)))</f>
      </c>
      <c r="G103" s="5">
        <f>(A103-Parametri!$A$11)+Parametri!$A$2+(Parametri!$A$5/2)</f>
      </c>
      <c r="H103" s="6">
        <f>(E103-Parametri!$A$8)-(Dati!A103-Parametri!$A$11)+Parametri!$A$2</f>
      </c>
      <c r="I103" s="6">
        <f>F103</f>
      </c>
      <c r="J103" s="6">
        <f>Parametri!$D$8</f>
      </c>
    </row>
    <row x14ac:dyDescent="0.25" r="104" customHeight="1" ht="17.25">
      <c r="A104" s="4">
        <f>A103+20</f>
      </c>
      <c r="B104" s="1"/>
      <c r="C104" s="2"/>
      <c r="D104" s="5">
        <f>B104+2*E104</f>
      </c>
      <c r="E104" s="5">
        <f>IF(C104=0, B104, MEAN(B104:C104))</f>
      </c>
      <c r="F104" s="6">
        <f>IF(C104=0, Parametri!$D$8, ABS(B104-C104)/(2*SQRT(3)))</f>
      </c>
      <c r="G104" s="5">
        <f>(A104-Parametri!$A$11)+Parametri!$A$2+(Parametri!$A$5/2)</f>
      </c>
      <c r="H104" s="6">
        <f>(E104-Parametri!$A$8)-(Dati!A104-Parametri!$A$11)+Parametri!$A$2</f>
      </c>
      <c r="I104" s="6">
        <f>F104</f>
      </c>
      <c r="J104" s="6">
        <f>Parametri!$D$8</f>
      </c>
    </row>
    <row x14ac:dyDescent="0.25" r="105" customHeight="1" ht="17.25">
      <c r="A105" s="4">
        <f>A104+20</f>
      </c>
      <c r="B105" s="1"/>
      <c r="C105" s="2"/>
      <c r="D105" s="5">
        <f>B105+2*E105</f>
      </c>
      <c r="E105" s="5">
        <f>IF(C105=0, B105, MEAN(B105:C105))</f>
      </c>
      <c r="F105" s="6">
        <f>IF(C105=0, Parametri!$D$8, ABS(B105-C105)/(2*SQRT(3)))</f>
      </c>
      <c r="G105" s="5">
        <f>(A105-Parametri!$A$11)+Parametri!$A$2+(Parametri!$A$5/2)</f>
      </c>
      <c r="H105" s="6">
        <f>(E105-Parametri!$A$8)-(Dati!A105-Parametri!$A$11)+Parametri!$A$2</f>
      </c>
      <c r="I105" s="6">
        <f>F105</f>
      </c>
      <c r="J105" s="6">
        <f>Parametri!$D$8</f>
      </c>
    </row>
    <row x14ac:dyDescent="0.25" r="106" customHeight="1" ht="17.25">
      <c r="A106" s="4">
        <f>A105+20</f>
      </c>
      <c r="B106" s="1"/>
      <c r="C106" s="2"/>
      <c r="D106" s="5">
        <f>B106+2*E106</f>
      </c>
      <c r="E106" s="5">
        <f>IF(C106=0, B106, MEAN(B106:C106))</f>
      </c>
      <c r="F106" s="6">
        <f>IF(C106=0, Parametri!$D$8, ABS(B106-C106)/(2*SQRT(3)))</f>
      </c>
      <c r="G106" s="5">
        <f>(A106-Parametri!$A$11)+Parametri!$A$2+(Parametri!$A$5/2)</f>
      </c>
      <c r="H106" s="6">
        <f>(E106-Parametri!$A$8)-(Dati!A106-Parametri!$A$11)+Parametri!$A$2</f>
      </c>
      <c r="I106" s="6">
        <f>F106</f>
      </c>
      <c r="J106" s="6">
        <f>Parametri!$D$8</f>
      </c>
    </row>
    <row x14ac:dyDescent="0.25" r="107" customHeight="1" ht="17.25">
      <c r="A107" s="4">
        <f>A106+20</f>
      </c>
      <c r="B107" s="1"/>
      <c r="C107" s="2"/>
      <c r="D107" s="5">
        <f>B107+2*E107</f>
      </c>
      <c r="E107" s="5">
        <f>IF(C107=0, B107, MEAN(B107:C107))</f>
      </c>
      <c r="F107" s="6">
        <f>IF(C107=0, Parametri!$D$8, ABS(B107-C107)/(2*SQRT(3)))</f>
      </c>
      <c r="G107" s="5">
        <f>(A107-Parametri!$A$11)+Parametri!$A$2+(Parametri!$A$5/2)</f>
      </c>
      <c r="H107" s="6">
        <f>(E107-Parametri!$A$8)-(Dati!A107-Parametri!$A$11)+Parametri!$A$2</f>
      </c>
      <c r="I107" s="6">
        <f>F107</f>
      </c>
      <c r="J107" s="6">
        <f>Parametri!$D$8</f>
      </c>
    </row>
    <row x14ac:dyDescent="0.25" r="108" customHeight="1" ht="17.25">
      <c r="A108" s="4">
        <f>A107+20</f>
      </c>
      <c r="B108" s="1"/>
      <c r="C108" s="2"/>
      <c r="D108" s="5">
        <f>B108+2*E108</f>
      </c>
      <c r="E108" s="5">
        <f>IF(C108=0, B108, MEAN(B108:C108))</f>
      </c>
      <c r="F108" s="6">
        <f>IF(C108=0, Parametri!$D$8, ABS(B108-C108)/(2*SQRT(3)))</f>
      </c>
      <c r="G108" s="5">
        <f>(A108-Parametri!$A$11)+Parametri!$A$2+(Parametri!$A$5/2)</f>
      </c>
      <c r="H108" s="6">
        <f>(E108-Parametri!$A$8)-(Dati!A108-Parametri!$A$11)+Parametri!$A$2</f>
      </c>
      <c r="I108" s="6">
        <f>F108</f>
      </c>
      <c r="J108" s="6">
        <f>Parametri!$D$8</f>
      </c>
    </row>
    <row x14ac:dyDescent="0.25" r="109" customHeight="1" ht="17.25">
      <c r="A109" s="4">
        <f>A108+20</f>
      </c>
      <c r="B109" s="1"/>
      <c r="C109" s="2"/>
      <c r="D109" s="5">
        <f>B109+2*E109</f>
      </c>
      <c r="E109" s="5">
        <f>IF(C109=0, B109, MEAN(B109:C109))</f>
      </c>
      <c r="F109" s="6">
        <f>IF(C109=0, Parametri!$D$8, ABS(B109-C109)/(2*SQRT(3)))</f>
      </c>
      <c r="G109" s="5">
        <f>(A109-Parametri!$A$11)+Parametri!$A$2+(Parametri!$A$5/2)</f>
      </c>
      <c r="H109" s="6">
        <f>(E109-Parametri!$A$8)-(Dati!A109-Parametri!$A$11)+Parametri!$A$2</f>
      </c>
      <c r="I109" s="6">
        <f>F109</f>
      </c>
      <c r="J109" s="6">
        <f>Parametri!$D$8</f>
      </c>
    </row>
    <row x14ac:dyDescent="0.25" r="110" customHeight="1" ht="17.25">
      <c r="A110" s="4">
        <f>A109+20</f>
      </c>
      <c r="B110" s="1"/>
      <c r="C110" s="2"/>
      <c r="D110" s="5">
        <f>B110+2*E110</f>
      </c>
      <c r="E110" s="5">
        <f>IF(C110=0, B110, MEAN(B110:C110))</f>
      </c>
      <c r="F110" s="6">
        <f>IF(C110=0, Parametri!$D$8, ABS(B110-C110)/(2*SQRT(3)))</f>
      </c>
      <c r="G110" s="5">
        <f>(A110-Parametri!$A$11)+Parametri!$A$2+(Parametri!$A$5/2)</f>
      </c>
      <c r="H110" s="6">
        <f>(E110-Parametri!$A$8)-(Dati!A110-Parametri!$A$11)+Parametri!$A$2</f>
      </c>
      <c r="I110" s="6">
        <f>F110</f>
      </c>
      <c r="J110" s="6">
        <f>Parametri!$D$8</f>
      </c>
    </row>
    <row x14ac:dyDescent="0.25" r="111" customHeight="1" ht="17.25">
      <c r="A111" s="4">
        <f>A110+20</f>
      </c>
      <c r="B111" s="1"/>
      <c r="C111" s="2"/>
      <c r="D111" s="5">
        <f>B111+2*E111</f>
      </c>
      <c r="E111" s="5">
        <f>IF(C111=0, B111, MEAN(B111:C111))</f>
      </c>
      <c r="F111" s="6">
        <f>IF(C111=0, Parametri!$D$8, ABS(B111-C111)/(2*SQRT(3)))</f>
      </c>
      <c r="G111" s="5">
        <f>(A111-Parametri!$A$11)+Parametri!$A$2+(Parametri!$A$5/2)</f>
      </c>
      <c r="H111" s="6">
        <f>(E111-Parametri!$A$8)-(Dati!A111-Parametri!$A$11)+Parametri!$A$2</f>
      </c>
      <c r="I111" s="6">
        <f>F111</f>
      </c>
      <c r="J111" s="6">
        <f>Parametri!$D$8</f>
      </c>
    </row>
    <row x14ac:dyDescent="0.25" r="112" customHeight="1" ht="17.25">
      <c r="A112" s="4">
        <f>A111+20</f>
      </c>
      <c r="B112" s="1"/>
      <c r="C112" s="2"/>
      <c r="D112" s="5">
        <f>B112+2*E112</f>
      </c>
      <c r="E112" s="5">
        <f>IF(C112=0, B112, MEAN(B112:C112))</f>
      </c>
      <c r="F112" s="6">
        <f>IF(C112=0, Parametri!$D$8, ABS(B112-C112)/(2*SQRT(3)))</f>
      </c>
      <c r="G112" s="5">
        <f>(A112-Parametri!$A$11)+Parametri!$A$2+(Parametri!$A$5/2)</f>
      </c>
      <c r="H112" s="6">
        <f>(E112-Parametri!$A$8)-(Dati!A112-Parametri!$A$11)+Parametri!$A$2</f>
      </c>
      <c r="I112" s="6">
        <f>F112</f>
      </c>
      <c r="J112" s="6">
        <f>Parametri!$D$8</f>
      </c>
    </row>
    <row x14ac:dyDescent="0.25" r="113" customHeight="1" ht="17.25">
      <c r="A113" s="4">
        <f>A112+20</f>
      </c>
      <c r="B113" s="1"/>
      <c r="C113" s="2"/>
      <c r="D113" s="5">
        <f>B113+2*E113</f>
      </c>
      <c r="E113" s="5">
        <f>IF(C113=0, B113, MEAN(B113:C113))</f>
      </c>
      <c r="F113" s="6">
        <f>IF(C113=0, Parametri!$D$8, ABS(B113-C113)/(2*SQRT(3)))</f>
      </c>
      <c r="G113" s="5">
        <f>(A113-Parametri!$A$11)+Parametri!$A$2+(Parametri!$A$5/2)</f>
      </c>
      <c r="H113" s="6">
        <f>(E113-Parametri!$A$8)-(Dati!A113-Parametri!$A$11)+Parametri!$A$2</f>
      </c>
      <c r="I113" s="6">
        <f>F113</f>
      </c>
      <c r="J113" s="6">
        <f>Parametri!$D$8</f>
      </c>
    </row>
    <row x14ac:dyDescent="0.25" r="114" customHeight="1" ht="17.25">
      <c r="A114" s="4">
        <f>A113+50</f>
      </c>
      <c r="B114" s="1"/>
      <c r="C114" s="2"/>
      <c r="D114" s="5">
        <f>B114+2*E114</f>
      </c>
      <c r="E114" s="5">
        <f>IF(C114=0, B114, MEAN(B114:C114))</f>
      </c>
      <c r="F114" s="6">
        <f>IF(C114=0, Parametri!$D$8, ABS(B114-C114)/(2*SQRT(3)))</f>
      </c>
      <c r="G114" s="5">
        <f>(A114-Parametri!$A$11)+Parametri!$A$2+(Parametri!$A$5/2)</f>
      </c>
      <c r="H114" s="6">
        <f>(E114-Parametri!$A$8)-(Dati!A114-Parametri!$A$11)+Parametri!$A$2</f>
      </c>
      <c r="I114" s="6">
        <f>F114</f>
      </c>
      <c r="J114" s="6">
        <f>Parametri!$D$8</f>
      </c>
    </row>
    <row x14ac:dyDescent="0.25" r="115" customHeight="1" ht="17.25">
      <c r="A115" s="4">
        <f>A114+50</f>
      </c>
      <c r="B115" s="1"/>
      <c r="C115" s="2"/>
      <c r="D115" s="5">
        <f>B115+2*E115</f>
      </c>
      <c r="E115" s="5">
        <f>IF(C115=0, B115, MEAN(B115:C115))</f>
      </c>
      <c r="F115" s="6">
        <f>IF(C115=0, Parametri!$D$8, ABS(B115-C115)/(2*SQRT(3)))</f>
      </c>
      <c r="G115" s="5">
        <f>(A115-Parametri!$A$11)+Parametri!$A$2+(Parametri!$A$5/2)</f>
      </c>
      <c r="H115" s="6">
        <f>(E115-Parametri!$A$8)-(Dati!A115-Parametri!$A$11)+Parametri!$A$2</f>
      </c>
      <c r="I115" s="6">
        <f>F115</f>
      </c>
      <c r="J115" s="6">
        <f>Parametri!$D$8</f>
      </c>
    </row>
    <row x14ac:dyDescent="0.25" r="116" customHeight="1" ht="17.25">
      <c r="A116" s="4">
        <f>A115+50</f>
      </c>
      <c r="B116" s="1"/>
      <c r="C116" s="2"/>
      <c r="D116" s="5">
        <f>B116+2*E116</f>
      </c>
      <c r="E116" s="5">
        <f>IF(C116=0, B116, MEAN(B116:C116))</f>
      </c>
      <c r="F116" s="6">
        <f>IF(C116=0, Parametri!$D$8, ABS(B116-C116)/(2*SQRT(3)))</f>
      </c>
      <c r="G116" s="5">
        <f>(A116-Parametri!$A$11)+Parametri!$A$2+(Parametri!$A$5/2)</f>
      </c>
      <c r="H116" s="6">
        <f>(E116-Parametri!$A$8)-(Dati!A116-Parametri!$A$11)+Parametri!$A$2</f>
      </c>
      <c r="I116" s="6">
        <f>F116</f>
      </c>
      <c r="J116" s="6">
        <f>Parametri!$D$8</f>
      </c>
    </row>
    <row x14ac:dyDescent="0.25" r="117" customHeight="1" ht="17.25">
      <c r="A117" s="4">
        <f>A116+50</f>
      </c>
      <c r="B117" s="1"/>
      <c r="C117" s="2"/>
      <c r="D117" s="5">
        <f>B117+2*E117</f>
      </c>
      <c r="E117" s="5">
        <f>IF(C117=0, B117, MEAN(B117:C117))</f>
      </c>
      <c r="F117" s="6">
        <f>IF(C117=0, Parametri!$D$8, ABS(B117-C117)/(2*SQRT(3)))</f>
      </c>
      <c r="G117" s="5">
        <f>(A117-Parametri!$A$11)+Parametri!$A$2+(Parametri!$A$5/2)</f>
      </c>
      <c r="H117" s="6">
        <f>(E117-Parametri!$A$8)-(Dati!A117-Parametri!$A$11)+Parametri!$A$2</f>
      </c>
      <c r="I117" s="6">
        <f>F117</f>
      </c>
      <c r="J117" s="6">
        <f>Parametri!$D$8</f>
      </c>
    </row>
    <row x14ac:dyDescent="0.25" r="118" customHeight="1" ht="17.25">
      <c r="A118" s="4">
        <f>A117+50</f>
      </c>
      <c r="B118" s="1"/>
      <c r="C118" s="2"/>
      <c r="D118" s="5">
        <f>B118+2*E118</f>
      </c>
      <c r="E118" s="5">
        <f>IF(C118=0, B118, MEAN(B118:C118))</f>
      </c>
      <c r="F118" s="6">
        <f>IF(C118=0, Parametri!$D$8, ABS(B118-C118)/(2*SQRT(3)))</f>
      </c>
      <c r="G118" s="5">
        <f>(A118-Parametri!$A$11)+Parametri!$A$2+(Parametri!$A$5/2)</f>
      </c>
      <c r="H118" s="6">
        <f>(E118-Parametri!$A$8)-(Dati!A118-Parametri!$A$11)+Parametri!$A$2</f>
      </c>
      <c r="I118" s="6">
        <f>F118</f>
      </c>
      <c r="J118" s="6">
        <f>Parametri!$D$8</f>
      </c>
    </row>
    <row x14ac:dyDescent="0.25" r="119" customHeight="1" ht="17.25">
      <c r="A119" s="4">
        <f>A118+50</f>
      </c>
      <c r="B119" s="1"/>
      <c r="C119" s="2"/>
      <c r="D119" s="5">
        <f>B119+2*E119</f>
      </c>
      <c r="E119" s="5">
        <f>IF(C119=0, B119, MEAN(B119:C119))</f>
      </c>
      <c r="F119" s="6">
        <f>IF(C119=0, Parametri!$D$8, ABS(B119-C119)/(2*SQRT(3)))</f>
      </c>
      <c r="G119" s="5">
        <f>(A119-Parametri!$A$11)+Parametri!$A$2+(Parametri!$A$5/2)</f>
      </c>
      <c r="H119" s="6">
        <f>(E119-Parametri!$A$8)-(Dati!A119-Parametri!$A$11)+Parametri!$A$2</f>
      </c>
      <c r="I119" s="6">
        <f>F119</f>
      </c>
      <c r="J119" s="6">
        <f>Parametri!$D$8</f>
      </c>
    </row>
    <row x14ac:dyDescent="0.25" r="120" customHeight="1" ht="17.25">
      <c r="A120" s="4">
        <f>A119+100</f>
      </c>
      <c r="B120" s="1"/>
      <c r="C120" s="2"/>
      <c r="D120" s="5">
        <f>B120+2*E120</f>
      </c>
      <c r="E120" s="5">
        <f>IF(C120=0, B120, MEAN(B120:C120))</f>
      </c>
      <c r="F120" s="6">
        <f>IF(C120=0, Parametri!$D$8, ABS(B120-C120)/(2*SQRT(3)))</f>
      </c>
      <c r="G120" s="5">
        <f>(A120-Parametri!$A$11)+Parametri!$A$2+(Parametri!$A$5/2)</f>
      </c>
      <c r="H120" s="6">
        <f>(E120-Parametri!$A$8)-(Dati!A120-Parametri!$A$11)+Parametri!$A$2</f>
      </c>
      <c r="I120" s="6">
        <f>F120</f>
      </c>
      <c r="J120" s="6">
        <f>Parametri!$D$8</f>
      </c>
    </row>
    <row x14ac:dyDescent="0.25" r="121" customHeight="1" ht="17.25">
      <c r="A121" s="4">
        <f>A120+100</f>
      </c>
      <c r="B121" s="1"/>
      <c r="C121" s="2"/>
      <c r="D121" s="5">
        <f>B121+2*E121</f>
      </c>
      <c r="E121" s="5">
        <f>IF(C121=0, B121, MEAN(B121:C121))</f>
      </c>
      <c r="F121" s="6">
        <f>IF(C121=0, Parametri!$D$8, ABS(B121-C121)/(2*SQRT(3)))</f>
      </c>
      <c r="G121" s="5">
        <f>(A121-Parametri!$A$11)+Parametri!$A$2+(Parametri!$A$5/2)</f>
      </c>
      <c r="H121" s="6">
        <f>(E121-Parametri!$A$8)-(Dati!A121-Parametri!$A$11)+Parametri!$A$2</f>
      </c>
      <c r="I121" s="6">
        <f>F121</f>
      </c>
      <c r="J121" s="6">
        <f>Parametri!$D$8</f>
      </c>
    </row>
    <row x14ac:dyDescent="0.25" r="122" customHeight="1" ht="17.25">
      <c r="A122" s="4">
        <f>A121+100</f>
      </c>
      <c r="B122" s="1"/>
      <c r="C122" s="2"/>
      <c r="D122" s="5">
        <f>B122+2*E122</f>
      </c>
      <c r="E122" s="5">
        <f>IF(C122=0, B122, MEAN(B122:C122))</f>
      </c>
      <c r="F122" s="6">
        <f>IF(C122=0, Parametri!$D$8, ABS(B122-C122)/(2*SQRT(3)))</f>
      </c>
      <c r="G122" s="5">
        <f>(A122-Parametri!$A$11)+Parametri!$A$2+(Parametri!$A$5/2)</f>
      </c>
      <c r="H122" s="6">
        <f>(E122-Parametri!$A$8)-(Dati!A122-Parametri!$A$11)+Parametri!$A$2</f>
      </c>
      <c r="I122" s="6">
        <f>F122</f>
      </c>
      <c r="J122" s="6">
        <f>Parametri!$D$8</f>
      </c>
    </row>
    <row x14ac:dyDescent="0.25" r="123" customHeight="1" ht="17.25">
      <c r="A123" s="4">
        <f>A122+100</f>
      </c>
      <c r="B123" s="1"/>
      <c r="C123" s="2"/>
      <c r="D123" s="5">
        <f>B123+2*E123</f>
      </c>
      <c r="E123" s="5">
        <f>IF(C123=0, B123, MEAN(B123:C123))</f>
      </c>
      <c r="F123" s="6">
        <f>IF(C123=0, Parametri!$D$8, ABS(B123-C123)/(2*SQRT(3)))</f>
      </c>
      <c r="G123" s="5">
        <f>(A123-Parametri!$A$11)+Parametri!$A$2+(Parametri!$A$5/2)</f>
      </c>
      <c r="H123" s="6">
        <f>(E123-Parametri!$A$8)-(Dati!A123-Parametri!$A$11)+Parametri!$A$2</f>
      </c>
      <c r="I123" s="6">
        <f>F123</f>
      </c>
      <c r="J123" s="6">
        <f>Parametri!$D$8</f>
      </c>
    </row>
    <row x14ac:dyDescent="0.25" r="124" customHeight="1" ht="17.25">
      <c r="A124" s="4">
        <f>A123+100</f>
      </c>
      <c r="B124" s="1"/>
      <c r="C124" s="2"/>
      <c r="D124" s="5">
        <f>B124+2*E124</f>
      </c>
      <c r="E124" s="5">
        <f>IF(C124=0, B124, MEAN(B124:C124))</f>
      </c>
      <c r="F124" s="6">
        <f>IF(C124=0, Parametri!$D$8, ABS(B124-C124)/(2*SQRT(3)))</f>
      </c>
      <c r="G124" s="5">
        <f>(A124-Parametri!$A$11)+Parametri!$A$2+(Parametri!$A$5/2)</f>
      </c>
      <c r="H124" s="6">
        <f>(E124-Parametri!$A$8)-(Dati!A124-Parametri!$A$11)+Parametri!$A$2</f>
      </c>
      <c r="I124" s="6">
        <f>F124</f>
      </c>
      <c r="J124" s="6">
        <f>Parametri!$D$8</f>
      </c>
    </row>
    <row x14ac:dyDescent="0.25" r="125" customHeight="1" ht="17.25">
      <c r="A125" s="4">
        <f>A124+100</f>
      </c>
      <c r="B125" s="1"/>
      <c r="C125" s="2"/>
      <c r="D125" s="5">
        <f>B125+2*E125</f>
      </c>
      <c r="E125" s="5">
        <f>IF(C125=0, B125, MEAN(B125:C125))</f>
      </c>
      <c r="F125" s="6">
        <f>IF(C125=0, Parametri!$D$8, ABS(B125-C125)/(2*SQRT(3)))</f>
      </c>
      <c r="G125" s="5">
        <f>(A125-Parametri!$A$11)+Parametri!$A$2+(Parametri!$A$5/2)</f>
      </c>
      <c r="H125" s="6">
        <f>(E125-Parametri!$A$8)-(Dati!A125-Parametri!$A$11)+Parametri!$A$2</f>
      </c>
      <c r="I125" s="6">
        <f>F125</f>
      </c>
      <c r="J125" s="6">
        <f>Parametri!$D$8</f>
      </c>
    </row>
    <row x14ac:dyDescent="0.25" r="126" customHeight="1" ht="17.25">
      <c r="A126" s="1"/>
      <c r="B126" s="1"/>
      <c r="C126" s="2"/>
      <c r="D126" s="5">
        <f>B126+2*E126</f>
      </c>
      <c r="E126" s="5">
        <f>IF(C126=0, B126, MEAN(B126:C126))</f>
      </c>
      <c r="F126" s="6">
        <f>IF(C126=0, Parametri!$D$8, ABS(B126-C126)/(2*SQRT(3)))</f>
      </c>
      <c r="G126" s="5">
        <f>(A126-Parametri!$A$11)+Parametri!$A$2+(Parametri!$A$5/2)</f>
      </c>
      <c r="H126" s="6">
        <f>(E126-Parametri!$A$8)-(Dati!A126-Parametri!$A$11)+Parametri!$A$2</f>
      </c>
      <c r="I126" s="6">
        <f>F126</f>
      </c>
      <c r="J126" s="6">
        <f>Parametri!$D$8</f>
      </c>
    </row>
    <row x14ac:dyDescent="0.25" r="127" customHeight="1" ht="17.25">
      <c r="A127" s="1"/>
      <c r="B127" s="1"/>
      <c r="C127" s="2"/>
      <c r="D127" s="5">
        <f>B127+2*E127</f>
      </c>
      <c r="E127" s="5">
        <f>IF(C127=0, B127, MEAN(B127:C127))</f>
      </c>
      <c r="F127" s="6">
        <f>IF(C127=0, Parametri!$D$8, ABS(B127-C127)/(2*SQRT(3)))</f>
      </c>
      <c r="G127" s="5">
        <f>(A127-Parametri!$A$11)+Parametri!$A$2+(Parametri!$A$5/2)</f>
      </c>
      <c r="H127" s="6">
        <f>(E127-Parametri!$A$8)-(Dati!A127-Parametri!$A$11)+Parametri!$A$2</f>
      </c>
      <c r="I127" s="6">
        <f>F127</f>
      </c>
      <c r="J127" s="6">
        <f>Parametri!$D$8</f>
      </c>
    </row>
    <row x14ac:dyDescent="0.25" r="128" customHeight="1" ht="17.25">
      <c r="A128" s="1"/>
      <c r="B128" s="1"/>
      <c r="C128" s="2"/>
      <c r="D128" s="5">
        <f>B128+2*E128</f>
      </c>
      <c r="E128" s="5">
        <f>IF(C128=0, B128, MEAN(B128:C128))</f>
      </c>
      <c r="F128" s="6">
        <f>IF(C128=0, Parametri!$D$8, ABS(B128-C128)/(2*SQRT(3)))</f>
      </c>
      <c r="G128" s="5">
        <f>(A128-Parametri!$A$11)+Parametri!$A$2+(Parametri!$A$5/2)</f>
      </c>
      <c r="H128" s="6">
        <f>(E128-Parametri!$A$8)-(Dati!A128-Parametri!$A$11)+Parametri!$A$2</f>
      </c>
      <c r="I128" s="6">
        <f>F128</f>
      </c>
      <c r="J128" s="6">
        <f>Parametri!$D$8</f>
      </c>
    </row>
    <row x14ac:dyDescent="0.25" r="129" customHeight="1" ht="17.25">
      <c r="A129" s="1"/>
      <c r="B129" s="1"/>
      <c r="C129" s="2"/>
      <c r="D129" s="5">
        <f>B129+2*E129</f>
      </c>
      <c r="E129" s="5">
        <f>IF(C129=0, B129, MEAN(B129:C129))</f>
      </c>
      <c r="F129" s="6">
        <f>IF(C129=0, Parametri!$D$8, ABS(B129-C129)/(2*SQRT(3)))</f>
      </c>
      <c r="G129" s="5">
        <f>(A129-Parametri!$A$11)+Parametri!$A$2+(Parametri!$A$5/2)</f>
      </c>
      <c r="H129" s="6">
        <f>(E129-Parametri!$A$8)-(Dati!A129-Parametri!$A$11)+Parametri!$A$2</f>
      </c>
      <c r="I129" s="6">
        <f>F129</f>
      </c>
      <c r="J129" s="6">
        <f>Parametri!$D$8</f>
      </c>
    </row>
    <row x14ac:dyDescent="0.25" r="130" customHeight="1" ht="17.25">
      <c r="A130" s="5">
        <v>1675</v>
      </c>
      <c r="B130" s="5">
        <v>1902</v>
      </c>
      <c r="C130" s="2"/>
      <c r="D130" s="5">
        <f>B130+2*E130</f>
      </c>
      <c r="E130" s="5">
        <f>IF(C130=0, B130, MEAN(B130:C130))</f>
      </c>
      <c r="F130" s="6">
        <f>IF(C130=0, Parametri!$D$8, ABS(B130-C130)/(2*SQRT(3)))</f>
      </c>
      <c r="G130" s="5">
        <f>(A130-Parametri!$A$11)+Parametri!$A$2+(Parametri!$A$5/2)</f>
      </c>
      <c r="H130" s="6">
        <f>(E130-Parametri!$A$8)-(Dati!A130-Parametri!$A$11)+Parametri!$A$2</f>
      </c>
      <c r="I130" s="6">
        <f>F130</f>
      </c>
      <c r="J130" s="6">
        <f>Parametri!$D$8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Parametri</vt:lpstr>
      <vt:lpstr>Dati (2)</vt:lpstr>
      <vt:lpstr>Dati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2026-10-16T08:20:35.158Z</dcterms:created>
  <dcterms:modified xsi:type="dcterms:W3CDTF">2026-10-16T08:20:35.158Z</dcterms:modified>
</cp:coreProperties>
</file>