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rametri"/>
    <sheet r:id="rId2" sheetId="2" name="Datisium"/>
    <sheet r:id="rId3" sheetId="3" name="Dati"/>
    <sheet r:id="rId4" sheetId="4" name="Dati (2)"/>
  </sheets>
  <calcPr fullCalcOnLoad="1"/>
</workbook>
</file>

<file path=xl/sharedStrings.xml><?xml version="1.0" encoding="utf-8"?>
<sst xmlns="http://schemas.openxmlformats.org/spreadsheetml/2006/main" count="50" uniqueCount="29">
  <si>
    <t>x</t>
  </si>
  <si>
    <t>y_min</t>
  </si>
  <si>
    <t>y_max</t>
  </si>
  <si>
    <t>y_max2</t>
  </si>
  <si>
    <t>y</t>
  </si>
  <si>
    <t>sigma_y</t>
  </si>
  <si>
    <t>p</t>
  </si>
  <si>
    <t>q</t>
  </si>
  <si>
    <t>sigma_p</t>
  </si>
  <si>
    <t>sigma_q</t>
  </si>
  <si>
    <t>p-7</t>
  </si>
  <si>
    <t>q-7</t>
  </si>
  <si>
    <t>FONTE DI ERRORE</t>
  </si>
  <si>
    <t>modifica messa a fuoco fonte di errore dovuta al generatore</t>
  </si>
  <si>
    <t>elimina</t>
  </si>
  <si>
    <t>CAMBIA ERRORE</t>
  </si>
  <si>
    <t xml:space="preserve"> L</t>
  </si>
  <si>
    <t>err_L</t>
  </si>
  <si>
    <t>sigma_L</t>
  </si>
  <si>
    <t>D</t>
  </si>
  <si>
    <t>err_D</t>
  </si>
  <si>
    <t>sigma_D</t>
  </si>
  <si>
    <t>y_0</t>
  </si>
  <si>
    <t>err_y0</t>
  </si>
  <si>
    <t>sigma_y0</t>
  </si>
  <si>
    <t>x_0</t>
  </si>
  <si>
    <t>err_x0</t>
  </si>
  <si>
    <t>sigma_x0</t>
  </si>
  <si>
    <t>sigma_x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</si>
</sst>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e7e6e6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3" applyFill="1" applyAlignment="1">
      <alignment horizontal="center"/>
    </xf>
    <xf xfId="0" numFmtId="3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4" applyFill="1" applyAlignment="1">
      <alignment horizontal="center"/>
    </xf>
    <xf xfId="0" numFmtId="3" applyNumberFormat="1" borderId="2" applyBorder="1" fontId="1" applyFont="1" fillId="4" applyFill="1" applyAlignment="1">
      <alignment horizontal="right"/>
    </xf>
    <xf xfId="0" numFmtId="4" applyNumberFormat="1" borderId="2" applyBorder="1" fontId="1" applyFont="1" fillId="4" applyFill="1" applyAlignment="1">
      <alignment horizontal="right"/>
    </xf>
    <xf xfId="0" numFmtId="0" borderId="2" applyBorder="1" fontId="1" applyFont="1" fillId="4" applyFill="1" applyAlignment="1">
      <alignment horizontal="left"/>
    </xf>
    <xf xfId="0" numFmtId="4" applyNumberFormat="1" borderId="2" applyBorder="1" fontId="1" applyFont="1" fillId="5" applyFill="1" applyAlignment="1">
      <alignment horizontal="center"/>
    </xf>
    <xf xfId="0" numFmtId="3" applyNumberFormat="1" borderId="2" applyBorder="1" fontId="1" applyFont="1" fillId="5" applyFill="1" applyAlignment="1">
      <alignment horizontal="right"/>
    </xf>
    <xf xfId="0" numFmtId="4" applyNumberFormat="1" borderId="2" applyBorder="1" fontId="1" applyFont="1" fillId="5" applyFill="1" applyAlignment="1">
      <alignment horizontal="right"/>
    </xf>
    <xf xfId="0" numFmtId="0" borderId="2" applyBorder="1" fontId="1" applyFont="1" fillId="5" applyFill="1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4" applyNumberFormat="1" borderId="3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3" width="12.43357142857143" customWidth="1" bestFit="1"/>
    <col min="4" max="4" style="13" width="12.43357142857143" customWidth="1" bestFit="1"/>
  </cols>
  <sheetData>
    <row x14ac:dyDescent="0.25" r="1" customHeight="1" ht="17.25">
      <c r="A1" s="28" t="s">
        <v>16</v>
      </c>
      <c r="B1" s="29" t="s">
        <v>17</v>
      </c>
      <c r="C1" s="29" t="s">
        <v>18</v>
      </c>
      <c r="D1" s="11"/>
    </row>
    <row x14ac:dyDescent="0.25" r="2" customHeight="1" ht="17.25">
      <c r="A2" s="30">
        <v>104</v>
      </c>
      <c r="B2" s="31">
        <f>1/20</f>
      </c>
      <c r="C2" s="31">
        <f>B5/SQRT(3)</f>
      </c>
      <c r="D2" s="11"/>
    </row>
    <row x14ac:dyDescent="0.25" r="3" customHeight="1" ht="17.25">
      <c r="A3" s="10"/>
      <c r="B3" s="11"/>
      <c r="C3" s="11"/>
      <c r="D3" s="11"/>
    </row>
    <row x14ac:dyDescent="0.25" r="4" customHeight="1" ht="17.25">
      <c r="A4" s="28" t="s">
        <v>19</v>
      </c>
      <c r="B4" s="29" t="s">
        <v>20</v>
      </c>
      <c r="C4" s="29" t="s">
        <v>21</v>
      </c>
      <c r="D4" s="11"/>
    </row>
    <row x14ac:dyDescent="0.25" r="5" customHeight="1" ht="17.25">
      <c r="A5" s="30">
        <v>17</v>
      </c>
      <c r="B5" s="31">
        <f>1/20</f>
      </c>
      <c r="C5" s="31">
        <f>B5/SQRT(3)</f>
      </c>
      <c r="D5" s="11"/>
    </row>
    <row x14ac:dyDescent="0.25" r="6" customHeight="1" ht="17.25">
      <c r="A6" s="10"/>
      <c r="B6" s="11"/>
      <c r="C6" s="11"/>
      <c r="D6" s="11"/>
    </row>
    <row x14ac:dyDescent="0.25" r="7" customHeight="1" ht="17.25">
      <c r="A7" s="28" t="s">
        <v>22</v>
      </c>
      <c r="B7" s="29" t="s">
        <v>23</v>
      </c>
      <c r="C7" s="29" t="s">
        <v>24</v>
      </c>
      <c r="D7" s="29" t="s">
        <v>5</v>
      </c>
    </row>
    <row x14ac:dyDescent="0.25" r="8" customHeight="1" ht="17.25">
      <c r="A8" s="30">
        <v>237</v>
      </c>
      <c r="B8" s="31">
        <v>0.2</v>
      </c>
      <c r="C8" s="31">
        <f>B8/SQRT(3)</f>
      </c>
      <c r="D8" s="31">
        <f>B8/SQRT(3)</f>
      </c>
    </row>
    <row x14ac:dyDescent="0.25" r="9" customHeight="1" ht="17.25">
      <c r="A9" s="10"/>
      <c r="B9" s="11"/>
      <c r="C9" s="11"/>
      <c r="D9" s="11"/>
    </row>
    <row x14ac:dyDescent="0.25" r="10" customHeight="1" ht="17.25">
      <c r="A10" s="28" t="s">
        <v>25</v>
      </c>
      <c r="B10" s="29" t="s">
        <v>26</v>
      </c>
      <c r="C10" s="29" t="s">
        <v>27</v>
      </c>
      <c r="D10" s="29" t="s">
        <v>28</v>
      </c>
    </row>
    <row x14ac:dyDescent="0.25" r="11" customHeight="1" ht="17.25">
      <c r="A11" s="30">
        <v>131</v>
      </c>
      <c r="B11" s="31">
        <v>0.2</v>
      </c>
      <c r="C11" s="31">
        <f>B11/SQRT(3)</f>
      </c>
      <c r="D11" s="31">
        <f>B11/SQRT(3)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17"/>
  <sheetViews>
    <sheetView workbookViewId="0"/>
  </sheetViews>
  <sheetFormatPr defaultRowHeight="15" x14ac:dyDescent="0.25"/>
  <cols>
    <col min="1" max="1" style="27" width="12.43357142857143" customWidth="1" bestFit="1"/>
    <col min="2" max="2" style="12" width="12.43357142857143" customWidth="1" bestFit="1"/>
    <col min="3" max="3" style="9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2.43357142857143" customWidth="1" bestFit="1"/>
    <col min="7" max="7" style="13" width="9.290714285714287" customWidth="1" bestFit="1"/>
    <col min="8" max="8" style="13" width="12.43357142857143" customWidth="1" bestFit="1"/>
    <col min="9" max="9" style="13" width="12.43357142857143" customWidth="1" bestFit="1"/>
    <col min="10" max="10" style="8" width="12.43357142857143" customWidth="1" bestFit="1"/>
    <col min="11" max="11" style="12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9" width="12.43357142857143" customWidth="1" bestFit="1"/>
    <col min="22" max="22" style="9" width="12.43357142857143" customWidth="1" bestFit="1"/>
  </cols>
  <sheetData>
    <row x14ac:dyDescent="0.25" r="1" customHeight="1" ht="17.25">
      <c r="A1" s="14" t="s">
        <v>0</v>
      </c>
      <c r="B1" s="10" t="s">
        <v>1</v>
      </c>
      <c r="C1" s="3" t="s">
        <v>2</v>
      </c>
      <c r="D1" s="10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3"/>
      <c r="V1" s="3"/>
    </row>
    <row x14ac:dyDescent="0.25" r="2" customHeight="1" ht="17.25">
      <c r="A2" s="5">
        <v>251</v>
      </c>
      <c r="B2" s="5">
        <v>1802</v>
      </c>
      <c r="C2" s="5">
        <v>1841</v>
      </c>
      <c r="D2" s="6">
        <f>IF(C2=0, B2, GEOMEAN(B2:C2))</f>
      </c>
      <c r="E2" s="6">
        <f>MAX(Parametri!$D$8, ABS(B2-C2)/(2*SQRT(3)))</f>
      </c>
      <c r="F2" s="6">
        <f>(A2-Parametri!$A$11)+Parametri!$A$2+(Parametri!$A$5/2)</f>
      </c>
      <c r="G2" s="6">
        <f>(D2-Parametri!$A$8)-(A2-Parametri!$A$11)+Parametri!$A$2</f>
      </c>
      <c r="H2" s="6">
        <f>E2</f>
      </c>
      <c r="I2" s="6">
        <f>Parametri!$D$8</f>
      </c>
      <c r="J2" s="2"/>
      <c r="K2" s="15">
        <f>C2-B2</f>
      </c>
      <c r="L2" s="2" t="s">
        <v>12</v>
      </c>
      <c r="M2" s="2"/>
      <c r="N2" s="2"/>
      <c r="O2" s="2"/>
      <c r="P2" s="2"/>
      <c r="Q2" s="2"/>
      <c r="R2" s="2"/>
      <c r="S2" s="2"/>
      <c r="T2" s="2"/>
      <c r="U2" s="5">
        <v>0</v>
      </c>
      <c r="V2" s="5">
        <v>0</v>
      </c>
    </row>
    <row x14ac:dyDescent="0.25" r="3" customHeight="1" ht="17.25">
      <c r="A3" s="4">
        <f>A2+1</f>
      </c>
      <c r="B3" s="5">
        <v>1719</v>
      </c>
      <c r="C3" s="5">
        <v>1836</v>
      </c>
      <c r="D3" s="6">
        <f>IF(C3=0, B3, GEOMEAN(B3:C3))</f>
      </c>
      <c r="E3" s="6">
        <f>MAX(Parametri!$D$8, ABS(B3-C3)/(2*SQRT(3)))</f>
      </c>
      <c r="F3" s="6">
        <f>(A3-Parametri!$A$11)+Parametri!$A$2+(Parametri!$A$5/2)</f>
      </c>
      <c r="G3" s="6">
        <f>(D3-Parametri!$A$8)-(A3-Parametri!$A$11)+Parametri!$A$2</f>
      </c>
      <c r="H3" s="6">
        <f>E3</f>
      </c>
      <c r="I3" s="6">
        <f>Parametri!$D$8</f>
      </c>
      <c r="J3" s="2"/>
      <c r="K3" s="15">
        <f>C3-B3</f>
      </c>
      <c r="L3" s="2" t="s">
        <v>13</v>
      </c>
      <c r="M3" s="2"/>
      <c r="N3" s="2"/>
      <c r="O3" s="2"/>
      <c r="P3" s="2"/>
      <c r="Q3" s="2"/>
      <c r="R3" s="2"/>
      <c r="S3" s="2"/>
      <c r="T3" s="2"/>
      <c r="U3" s="5">
        <v>2000</v>
      </c>
      <c r="V3" s="5">
        <v>2000</v>
      </c>
    </row>
    <row x14ac:dyDescent="0.25" r="4" customHeight="1" ht="17.25">
      <c r="A4" s="4">
        <f>A3+1</f>
      </c>
      <c r="B4" s="5">
        <v>1690</v>
      </c>
      <c r="C4" s="5">
        <v>1853</v>
      </c>
      <c r="D4" s="6">
        <f>IF(C4=0, B4, GEOMEAN(B4:C4))</f>
      </c>
      <c r="E4" s="6">
        <f>MAX(Parametri!$D$8, ABS(B4-C4)/(2*SQRT(3)))</f>
      </c>
      <c r="F4" s="6">
        <f>(A4-Parametri!$A$11)+Parametri!$A$2+(Parametri!$A$5/2)</f>
      </c>
      <c r="G4" s="6">
        <f>(D4-Parametri!$A$8)-(A4-Parametri!$A$11)+Parametri!$A$2</f>
      </c>
      <c r="H4" s="6">
        <f>E4</f>
      </c>
      <c r="I4" s="6">
        <f>Parametri!$D$8</f>
      </c>
      <c r="J4" s="2"/>
      <c r="K4" s="15">
        <f>C4-B4</f>
      </c>
      <c r="L4" s="2"/>
      <c r="M4" s="2"/>
      <c r="N4" s="2"/>
      <c r="O4" s="2"/>
      <c r="P4" s="2"/>
      <c r="Q4" s="2"/>
      <c r="R4" s="2"/>
      <c r="S4" s="2"/>
      <c r="T4" s="2"/>
      <c r="U4" s="3"/>
      <c r="V4" s="3"/>
    </row>
    <row x14ac:dyDescent="0.25" r="5" customHeight="1" ht="17.25">
      <c r="A5" s="4">
        <f>A4+1</f>
      </c>
      <c r="B5" s="5">
        <v>1630</v>
      </c>
      <c r="C5" s="5">
        <v>1782</v>
      </c>
      <c r="D5" s="6">
        <f>IF(C5=0, B5, GEOMEAN(B5:C5))</f>
      </c>
      <c r="E5" s="6">
        <f>MAX(Parametri!$D$8, ABS(B5-C5)/(2*SQRT(3)))</f>
      </c>
      <c r="F5" s="6">
        <f>(A5-Parametri!$A$11)+Parametri!$A$2+(Parametri!$A$5/2)</f>
      </c>
      <c r="G5" s="6">
        <f>(D5-Parametri!$A$8)-(A5-Parametri!$A$11)+Parametri!$A$2</f>
      </c>
      <c r="H5" s="6">
        <f>E5</f>
      </c>
      <c r="I5" s="6">
        <f>Parametri!$D$8</f>
      </c>
      <c r="J5" s="2"/>
      <c r="K5" s="15">
        <f>C5-B5</f>
      </c>
      <c r="L5" s="2"/>
      <c r="M5" s="2"/>
      <c r="N5" s="2"/>
      <c r="O5" s="2"/>
      <c r="P5" s="2"/>
      <c r="Q5" s="2"/>
      <c r="R5" s="2"/>
      <c r="S5" s="2"/>
      <c r="T5" s="2"/>
      <c r="U5" s="3"/>
      <c r="V5" s="3"/>
    </row>
    <row x14ac:dyDescent="0.25" r="6" customHeight="1" ht="17.25">
      <c r="A6" s="4">
        <f>A5+1</f>
      </c>
      <c r="B6" s="5">
        <v>1605</v>
      </c>
      <c r="C6" s="5">
        <v>1745</v>
      </c>
      <c r="D6" s="6">
        <f>IF(C6=0, B6, GEOMEAN(B6:C6))</f>
      </c>
      <c r="E6" s="6">
        <f>MAX(Parametri!$D$8, ABS(B6-C6)/(2*SQRT(3)))</f>
      </c>
      <c r="F6" s="6">
        <f>(A6-Parametri!$A$11)+Parametri!$A$2+(Parametri!$A$5/2)</f>
      </c>
      <c r="G6" s="6">
        <f>(D6-Parametri!$A$8)-(A6-Parametri!$A$11)+Parametri!$A$2</f>
      </c>
      <c r="H6" s="6">
        <f>E6</f>
      </c>
      <c r="I6" s="6">
        <f>Parametri!$D$8</f>
      </c>
      <c r="J6" s="2"/>
      <c r="K6" s="15">
        <f>C6-B6</f>
      </c>
      <c r="L6" s="2"/>
      <c r="M6" s="2"/>
      <c r="N6" s="2"/>
      <c r="O6" s="2"/>
      <c r="P6" s="2"/>
      <c r="Q6" s="2"/>
      <c r="R6" s="2"/>
      <c r="S6" s="2"/>
      <c r="T6" s="2"/>
      <c r="U6" s="3"/>
      <c r="V6" s="3"/>
    </row>
    <row x14ac:dyDescent="0.25" r="7" customHeight="1" ht="17.25">
      <c r="A7" s="4">
        <f>A6+1</f>
      </c>
      <c r="B7" s="5">
        <v>1574</v>
      </c>
      <c r="C7" s="5">
        <v>1710</v>
      </c>
      <c r="D7" s="6">
        <f>IF(C7=0, B7, GEOMEAN(B7:C7))</f>
      </c>
      <c r="E7" s="6">
        <f>MAX(Parametri!$D$8, ABS(B7-C7)/(2*SQRT(3)))</f>
      </c>
      <c r="F7" s="6">
        <f>(A7-Parametri!$A$11)+Parametri!$A$2+(Parametri!$A$5/2)</f>
      </c>
      <c r="G7" s="6">
        <f>(D7-Parametri!$A$8)-(A7-Parametri!$A$11)+Parametri!$A$2</f>
      </c>
      <c r="H7" s="6">
        <f>E7</f>
      </c>
      <c r="I7" s="6">
        <f>Parametri!$D$8</f>
      </c>
      <c r="J7" s="2"/>
      <c r="K7" s="15">
        <f>C7-B7</f>
      </c>
      <c r="L7" s="2"/>
      <c r="M7" s="2"/>
      <c r="N7" s="2"/>
      <c r="O7" s="2"/>
      <c r="P7" s="2"/>
      <c r="Q7" s="2"/>
      <c r="R7" s="2"/>
      <c r="S7" s="2"/>
      <c r="T7" s="2"/>
      <c r="U7" s="3"/>
      <c r="V7" s="3"/>
    </row>
    <row x14ac:dyDescent="0.25" r="8" customHeight="1" ht="17.25">
      <c r="A8" s="4">
        <f>A7+1</f>
      </c>
      <c r="B8" s="5">
        <v>1546</v>
      </c>
      <c r="C8" s="5">
        <v>1679</v>
      </c>
      <c r="D8" s="6">
        <f>IF(C8=0, B8, GEOMEAN(B8:C8))</f>
      </c>
      <c r="E8" s="6">
        <f>MAX(Parametri!$D$8, ABS(B8-C8)/(2*SQRT(3)))</f>
      </c>
      <c r="F8" s="6">
        <f>(A8-Parametri!$A$11)+Parametri!$A$2+(Parametri!$A$5/2)</f>
      </c>
      <c r="G8" s="6">
        <f>(D8-Parametri!$A$8)-(A8-Parametri!$A$11)+Parametri!$A$2</f>
      </c>
      <c r="H8" s="6">
        <f>E8</f>
      </c>
      <c r="I8" s="6">
        <f>Parametri!$D$8</f>
      </c>
      <c r="J8" s="2"/>
      <c r="K8" s="15">
        <f>C8-B8</f>
      </c>
      <c r="L8" s="2"/>
      <c r="M8" s="2"/>
      <c r="N8" s="2"/>
      <c r="O8" s="2"/>
      <c r="P8" s="2"/>
      <c r="Q8" s="2"/>
      <c r="R8" s="2"/>
      <c r="S8" s="2"/>
      <c r="T8" s="2"/>
      <c r="U8" s="3"/>
      <c r="V8" s="3"/>
    </row>
    <row x14ac:dyDescent="0.25" r="9" customHeight="1" ht="17.25">
      <c r="A9" s="4">
        <f>A8+1</f>
      </c>
      <c r="B9" s="5">
        <v>1525</v>
      </c>
      <c r="C9" s="5">
        <v>1629</v>
      </c>
      <c r="D9" s="6">
        <f>IF(C9=0, B9, GEOMEAN(B9:C9))</f>
      </c>
      <c r="E9" s="6">
        <f>MAX(Parametri!$D$8, ABS(B9-C9)/(2*SQRT(3)))</f>
      </c>
      <c r="F9" s="6">
        <f>(A9-Parametri!$A$11)+Parametri!$A$2+(Parametri!$A$5/2)</f>
      </c>
      <c r="G9" s="6">
        <f>(D9-Parametri!$A$8)-(A9-Parametri!$A$11)+Parametri!$A$2</f>
      </c>
      <c r="H9" s="6">
        <f>E9</f>
      </c>
      <c r="I9" s="6">
        <f>Parametri!$D$8</f>
      </c>
      <c r="J9" s="2"/>
      <c r="K9" s="15">
        <f>C9-B9</f>
      </c>
      <c r="L9" s="2"/>
      <c r="M9" s="2"/>
      <c r="N9" s="2"/>
      <c r="O9" s="2"/>
      <c r="P9" s="2"/>
      <c r="Q9" s="2"/>
      <c r="R9" s="2"/>
      <c r="S9" s="2"/>
      <c r="T9" s="2"/>
      <c r="U9" s="3"/>
      <c r="V9" s="3"/>
    </row>
    <row x14ac:dyDescent="0.25" r="10" customHeight="1" ht="17.25">
      <c r="A10" s="4">
        <f>A9+1</f>
      </c>
      <c r="B10" s="5">
        <v>1505</v>
      </c>
      <c r="C10" s="5">
        <v>1603</v>
      </c>
      <c r="D10" s="6">
        <f>IF(C10=0, B10, GEOMEAN(B10:C10))</f>
      </c>
      <c r="E10" s="6">
        <f>MAX(Parametri!$D$8, ABS(B10-C10)/(2*SQRT(3)))</f>
      </c>
      <c r="F10" s="6">
        <f>(A10-Parametri!$A$11)+Parametri!$A$2+(Parametri!$A$5/2)</f>
      </c>
      <c r="G10" s="6">
        <f>(D10-Parametri!$A$8)-(A10-Parametri!$A$11)+Parametri!$A$2</f>
      </c>
      <c r="H10" s="6">
        <f>E10</f>
      </c>
      <c r="I10" s="6">
        <f>Parametri!$D$8</f>
      </c>
      <c r="J10" s="2"/>
      <c r="K10" s="5">
        <f>C10-B10</f>
      </c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</row>
    <row x14ac:dyDescent="0.25" r="11" customHeight="1" ht="17.25">
      <c r="A11" s="4">
        <f>A10+1</f>
      </c>
      <c r="B11" s="5">
        <v>1467</v>
      </c>
      <c r="C11" s="5">
        <v>1572</v>
      </c>
      <c r="D11" s="6">
        <f>IF(C11=0, B11, GEOMEAN(B11:C11))</f>
      </c>
      <c r="E11" s="6">
        <f>MAX(Parametri!$D$8, ABS(B11-C11)/(2*SQRT(3)))</f>
      </c>
      <c r="F11" s="6">
        <f>(A11-Parametri!$A$11)+Parametri!$A$2+(Parametri!$A$5/2)</f>
      </c>
      <c r="G11" s="6">
        <f>(D11-Parametri!$A$8)-(A11-Parametri!$A$11)+Parametri!$A$2</f>
      </c>
      <c r="H11" s="6">
        <f>E11</f>
      </c>
      <c r="I11" s="6">
        <f>Parametri!$D$8</f>
      </c>
      <c r="J11" s="2"/>
      <c r="K11" s="5">
        <f>C11-B11</f>
      </c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</row>
    <row x14ac:dyDescent="0.25" r="12" customHeight="1" ht="17.25">
      <c r="A12" s="4">
        <f>A11+1</f>
      </c>
      <c r="B12" s="5">
        <v>1452</v>
      </c>
      <c r="C12" s="5">
        <v>1534</v>
      </c>
      <c r="D12" s="6">
        <f>IF(C12=0, B12, GEOMEAN(B12:C12))</f>
      </c>
      <c r="E12" s="6">
        <f>MAX(Parametri!$D$8, ABS(B12-C12)/(2*SQRT(3)))</f>
      </c>
      <c r="F12" s="6">
        <f>(A12-Parametri!$A$11)+Parametri!$A$2+(Parametri!$A$5/2)</f>
      </c>
      <c r="G12" s="6">
        <f>(D12-Parametri!$A$8)-(A12-Parametri!$A$11)+Parametri!$A$2</f>
      </c>
      <c r="H12" s="6">
        <f>E12</f>
      </c>
      <c r="I12" s="6">
        <f>Parametri!$D$8</f>
      </c>
      <c r="J12" s="2"/>
      <c r="K12" s="5">
        <f>C12-B12</f>
      </c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</row>
    <row x14ac:dyDescent="0.25" r="13" customHeight="1" ht="17.25">
      <c r="A13" s="4">
        <f>A12+1</f>
      </c>
      <c r="B13" s="5">
        <v>1442</v>
      </c>
      <c r="C13" s="5">
        <v>1520</v>
      </c>
      <c r="D13" s="6">
        <f>IF(C13=0, B13, GEOMEAN(B13:C13))</f>
      </c>
      <c r="E13" s="6">
        <f>MAX(Parametri!$D$8, ABS(B13-C13)/(2*SQRT(3)))</f>
      </c>
      <c r="F13" s="6">
        <f>(A13-Parametri!$A$11)+Parametri!$A$2+(Parametri!$A$5/2)</f>
      </c>
      <c r="G13" s="6">
        <f>(D13-Parametri!$A$8)-(A13-Parametri!$A$11)+Parametri!$A$2</f>
      </c>
      <c r="H13" s="6">
        <f>E13</f>
      </c>
      <c r="I13" s="6">
        <f>Parametri!$D$8</f>
      </c>
      <c r="J13" s="2"/>
      <c r="K13" s="5">
        <f>C13-B13</f>
      </c>
      <c r="L13" s="2"/>
      <c r="M13" s="2"/>
      <c r="N13" s="2"/>
      <c r="O13" s="2"/>
      <c r="P13" s="2"/>
      <c r="Q13" s="2"/>
      <c r="R13" s="2"/>
      <c r="S13" s="2"/>
      <c r="T13" s="2"/>
      <c r="U13" s="3"/>
      <c r="V13" s="3"/>
    </row>
    <row x14ac:dyDescent="0.25" r="14" customHeight="1" ht="17.25">
      <c r="A14" s="4">
        <f>A13+1</f>
      </c>
      <c r="B14" s="5">
        <v>1402</v>
      </c>
      <c r="C14" s="5">
        <v>1485</v>
      </c>
      <c r="D14" s="6">
        <f>IF(C14=0, B14, GEOMEAN(B14:C14))</f>
      </c>
      <c r="E14" s="6">
        <f>MAX(Parametri!$D$8, ABS(B14-C14)/(2*SQRT(3)))</f>
      </c>
      <c r="F14" s="6">
        <f>(A14-Parametri!$A$11)+Parametri!$A$2+(Parametri!$A$5/2)</f>
      </c>
      <c r="G14" s="6">
        <f>(D14-Parametri!$A$8)-(A14-Parametri!$A$11)+Parametri!$A$2</f>
      </c>
      <c r="H14" s="6">
        <f>E14</f>
      </c>
      <c r="I14" s="6">
        <f>Parametri!$D$8</f>
      </c>
      <c r="J14" s="2"/>
      <c r="K14" s="5">
        <f>C14-B14</f>
      </c>
      <c r="L14" s="2"/>
      <c r="M14" s="2"/>
      <c r="N14" s="2"/>
      <c r="O14" s="2"/>
      <c r="P14" s="2"/>
      <c r="Q14" s="2"/>
      <c r="R14" s="2"/>
      <c r="S14" s="2"/>
      <c r="T14" s="2"/>
      <c r="U14" s="3"/>
      <c r="V14" s="3"/>
    </row>
    <row x14ac:dyDescent="0.25" r="15" customHeight="1" ht="17.25">
      <c r="A15" s="4">
        <f>A14+1</f>
      </c>
      <c r="B15" s="5">
        <v>1391</v>
      </c>
      <c r="C15" s="5">
        <v>1462</v>
      </c>
      <c r="D15" s="6">
        <f>IF(C15=0, B15, GEOMEAN(B15:C15))</f>
      </c>
      <c r="E15" s="6">
        <f>MAX(Parametri!$D$8, ABS(B15-C15)/(2*SQRT(3)))</f>
      </c>
      <c r="F15" s="6">
        <f>(A15-Parametri!$A$11)+Parametri!$A$2+(Parametri!$A$5/2)</f>
      </c>
      <c r="G15" s="6">
        <f>(D15-Parametri!$A$8)-(A15-Parametri!$A$11)+Parametri!$A$2</f>
      </c>
      <c r="H15" s="6">
        <f>E15</f>
      </c>
      <c r="I15" s="6">
        <f>Parametri!$D$8</f>
      </c>
      <c r="J15" s="2"/>
      <c r="K15" s="5">
        <f>C15-B15</f>
      </c>
      <c r="L15" s="2"/>
      <c r="M15" s="2"/>
      <c r="N15" s="2"/>
      <c r="O15" s="2"/>
      <c r="P15" s="2"/>
      <c r="Q15" s="2"/>
      <c r="R15" s="2"/>
      <c r="S15" s="2"/>
      <c r="T15" s="2"/>
      <c r="U15" s="3"/>
      <c r="V15" s="3"/>
    </row>
    <row x14ac:dyDescent="0.25" r="16" customHeight="1" ht="17.25">
      <c r="A16" s="4">
        <f>A15+1</f>
      </c>
      <c r="B16" s="5">
        <v>1365</v>
      </c>
      <c r="C16" s="5">
        <v>1436</v>
      </c>
      <c r="D16" s="6">
        <f>IF(C16=0, B16, GEOMEAN(B16:C16))</f>
      </c>
      <c r="E16" s="6">
        <f>MAX(Parametri!$D$8, ABS(B16-C16)/(2*SQRT(3)))</f>
      </c>
      <c r="F16" s="6">
        <f>(A16-Parametri!$A$11)+Parametri!$A$2+(Parametri!$A$5/2)</f>
      </c>
      <c r="G16" s="6">
        <f>(D16-Parametri!$A$8)-(A16-Parametri!$A$11)+Parametri!$A$2</f>
      </c>
      <c r="H16" s="6">
        <f>E16</f>
      </c>
      <c r="I16" s="6">
        <f>Parametri!$D$8</f>
      </c>
      <c r="J16" s="2"/>
      <c r="K16" s="5">
        <f>C16-B16</f>
      </c>
      <c r="L16" s="2"/>
      <c r="M16" s="2"/>
      <c r="N16" s="2"/>
      <c r="O16" s="2"/>
      <c r="P16" s="2"/>
      <c r="Q16" s="2"/>
      <c r="R16" s="2"/>
      <c r="S16" s="2"/>
      <c r="T16" s="2"/>
      <c r="U16" s="3"/>
      <c r="V16" s="3"/>
    </row>
    <row x14ac:dyDescent="0.25" r="17" customHeight="1" ht="17.25">
      <c r="A17" s="4">
        <f>A16+1</f>
      </c>
      <c r="B17" s="5">
        <v>1358</v>
      </c>
      <c r="C17" s="5">
        <v>1431</v>
      </c>
      <c r="D17" s="6">
        <f>IF(C17=0, B17, GEOMEAN(B17:C17))</f>
      </c>
      <c r="E17" s="6">
        <f>MAX(Parametri!$D$8, ABS(B17-C17)/(2*SQRT(3)))</f>
      </c>
      <c r="F17" s="6">
        <f>(A17-Parametri!$A$11)+Parametri!$A$2+(Parametri!$A$5/2)</f>
      </c>
      <c r="G17" s="6">
        <f>(D17-Parametri!$A$8)-(A17-Parametri!$A$11)+Parametri!$A$2</f>
      </c>
      <c r="H17" s="6">
        <f>E17</f>
      </c>
      <c r="I17" s="6">
        <f>Parametri!$D$8</f>
      </c>
      <c r="J17" s="2"/>
      <c r="K17" s="5">
        <f>C17-B17</f>
      </c>
      <c r="L17" s="2"/>
      <c r="M17" s="2"/>
      <c r="N17" s="2"/>
      <c r="O17" s="2"/>
      <c r="P17" s="2"/>
      <c r="Q17" s="2"/>
      <c r="R17" s="2"/>
      <c r="S17" s="2"/>
      <c r="T17" s="2"/>
      <c r="U17" s="3"/>
      <c r="V17" s="3"/>
    </row>
    <row x14ac:dyDescent="0.25" r="18" customHeight="1" ht="17.25">
      <c r="A18" s="4">
        <f>A17+1</f>
      </c>
      <c r="B18" s="5">
        <v>1346</v>
      </c>
      <c r="C18" s="5">
        <v>1406</v>
      </c>
      <c r="D18" s="6">
        <f>IF(C18=0, B18, GEOMEAN(B18:C18))</f>
      </c>
      <c r="E18" s="6">
        <f>MAX(Parametri!$D$8, ABS(B18-C18)/(2*SQRT(3)))</f>
      </c>
      <c r="F18" s="6">
        <f>(A18-Parametri!$A$11)+Parametri!$A$2+(Parametri!$A$5/2)</f>
      </c>
      <c r="G18" s="6">
        <f>(D18-Parametri!$A$8)-(A18-Parametri!$A$11)+Parametri!$A$2</f>
      </c>
      <c r="H18" s="6">
        <f>E18</f>
      </c>
      <c r="I18" s="6">
        <f>Parametri!$D$8</f>
      </c>
      <c r="J18" s="2"/>
      <c r="K18" s="5">
        <f>C18-B18</f>
      </c>
      <c r="L18" s="2"/>
      <c r="M18" s="2"/>
      <c r="N18" s="2"/>
      <c r="O18" s="2"/>
      <c r="P18" s="2"/>
      <c r="Q18" s="2"/>
      <c r="R18" s="2"/>
      <c r="S18" s="2"/>
      <c r="T18" s="2"/>
      <c r="U18" s="3"/>
      <c r="V18" s="3"/>
    </row>
    <row x14ac:dyDescent="0.25" r="19" customHeight="1" ht="17.25">
      <c r="A19" s="4">
        <f>A18+1</f>
      </c>
      <c r="B19" s="5">
        <v>1323</v>
      </c>
      <c r="C19" s="5">
        <v>1390</v>
      </c>
      <c r="D19" s="6">
        <f>IF(C19=0, B19, GEOMEAN(B19:C19))</f>
      </c>
      <c r="E19" s="6">
        <f>MAX(Parametri!$D$8, ABS(B19-C19)/(2*SQRT(3)))</f>
      </c>
      <c r="F19" s="6">
        <f>(A19-Parametri!$A$11)+Parametri!$A$2+(Parametri!$A$5/2)</f>
      </c>
      <c r="G19" s="6">
        <f>(D19-Parametri!$A$8)-(A19-Parametri!$A$11)+Parametri!$A$2</f>
      </c>
      <c r="H19" s="6">
        <f>E19</f>
      </c>
      <c r="I19" s="6">
        <f>Parametri!$D$8</f>
      </c>
      <c r="J19" s="2"/>
      <c r="K19" s="5">
        <f>C19-B19</f>
      </c>
      <c r="L19" s="2"/>
      <c r="M19" s="2"/>
      <c r="N19" s="2"/>
      <c r="O19" s="2"/>
      <c r="P19" s="2"/>
      <c r="Q19" s="2"/>
      <c r="R19" s="2"/>
      <c r="S19" s="2"/>
      <c r="T19" s="2"/>
      <c r="U19" s="3"/>
      <c r="V19" s="3"/>
    </row>
    <row x14ac:dyDescent="0.25" r="20" customHeight="1" ht="17.25">
      <c r="A20" s="4">
        <f>A19+1</f>
      </c>
      <c r="B20" s="5">
        <v>1303</v>
      </c>
      <c r="C20" s="5">
        <v>1368</v>
      </c>
      <c r="D20" s="6">
        <f>IF(C20=0, B20, GEOMEAN(B20:C20))</f>
      </c>
      <c r="E20" s="6">
        <f>MAX(Parametri!$D$8, ABS(B20-C20)/(2*SQRT(3)))</f>
      </c>
      <c r="F20" s="6">
        <f>(A20-Parametri!$A$11)+Parametri!$A$2+(Parametri!$A$5/2)</f>
      </c>
      <c r="G20" s="6">
        <f>(D20-Parametri!$A$8)-(A20-Parametri!$A$11)+Parametri!$A$2</f>
      </c>
      <c r="H20" s="6">
        <f>E20</f>
      </c>
      <c r="I20" s="6">
        <f>Parametri!$D$8</f>
      </c>
      <c r="J20" s="2"/>
      <c r="K20" s="5">
        <f>C20-B20</f>
      </c>
      <c r="L20" s="2"/>
      <c r="M20" s="2"/>
      <c r="N20" s="2"/>
      <c r="O20" s="2"/>
      <c r="P20" s="2"/>
      <c r="Q20" s="2"/>
      <c r="R20" s="2"/>
      <c r="S20" s="2"/>
      <c r="T20" s="2"/>
      <c r="U20" s="3"/>
      <c r="V20" s="3"/>
    </row>
    <row x14ac:dyDescent="0.25" r="21" customHeight="1" ht="17.25">
      <c r="A21" s="4">
        <f>A20+1</f>
      </c>
      <c r="B21" s="5">
        <v>1294</v>
      </c>
      <c r="C21" s="5">
        <v>1346</v>
      </c>
      <c r="D21" s="6">
        <f>IF(C21=0, B21, GEOMEAN(B21:C21))</f>
      </c>
      <c r="E21" s="6">
        <f>MAX(Parametri!$D$8, ABS(B21-C21)/(2*SQRT(3)))</f>
      </c>
      <c r="F21" s="6">
        <f>(A21-Parametri!$A$11)+Parametri!$A$2+(Parametri!$A$5/2)</f>
      </c>
      <c r="G21" s="6">
        <f>(D21-Parametri!$A$8)-(A21-Parametri!$A$11)+Parametri!$A$2</f>
      </c>
      <c r="H21" s="6">
        <f>E21</f>
      </c>
      <c r="I21" s="6">
        <f>Parametri!$D$8</f>
      </c>
      <c r="J21" s="2"/>
      <c r="K21" s="5">
        <f>C21-B21</f>
      </c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</row>
    <row x14ac:dyDescent="0.25" r="22" customHeight="1" ht="17.25">
      <c r="A22" s="4">
        <f>A21+1</f>
      </c>
      <c r="B22" s="5">
        <v>1276</v>
      </c>
      <c r="C22" s="5">
        <v>1324</v>
      </c>
      <c r="D22" s="6">
        <f>IF(C22=0, B22, GEOMEAN(B22:C22))</f>
      </c>
      <c r="E22" s="6">
        <f>MAX(Parametri!$D$8, ABS(B22-C22)/(2*SQRT(3)))</f>
      </c>
      <c r="F22" s="6">
        <f>(A22-Parametri!$A$11)+Parametri!$A$2+(Parametri!$A$5/2)</f>
      </c>
      <c r="G22" s="6">
        <f>(D22-Parametri!$A$8)-(A22-Parametri!$A$11)+Parametri!$A$2</f>
      </c>
      <c r="H22" s="6">
        <f>E22</f>
      </c>
      <c r="I22" s="6">
        <f>Parametri!$D$8</f>
      </c>
      <c r="J22" s="2"/>
      <c r="K22" s="5">
        <f>C22-B22</f>
      </c>
      <c r="L22" s="2"/>
      <c r="M22" s="2"/>
      <c r="N22" s="2"/>
      <c r="O22" s="2"/>
      <c r="P22" s="2"/>
      <c r="Q22" s="2"/>
      <c r="R22" s="2"/>
      <c r="S22" s="2"/>
      <c r="T22" s="2"/>
      <c r="U22" s="3"/>
      <c r="V22" s="3"/>
    </row>
    <row x14ac:dyDescent="0.25" r="23" customHeight="1" ht="17.25">
      <c r="A23" s="4">
        <f>A22+1</f>
      </c>
      <c r="B23" s="5">
        <v>1264</v>
      </c>
      <c r="C23" s="5">
        <v>1314</v>
      </c>
      <c r="D23" s="6">
        <f>IF(C23=0, B23, GEOMEAN(B23:C23))</f>
      </c>
      <c r="E23" s="6">
        <f>MAX(Parametri!$D$8, ABS(B23-C23)/(2*SQRT(3)))</f>
      </c>
      <c r="F23" s="6">
        <f>(A23-Parametri!$A$11)+Parametri!$A$2+(Parametri!$A$5/2)</f>
      </c>
      <c r="G23" s="6">
        <f>(D23-Parametri!$A$8)-(A23-Parametri!$A$11)+Parametri!$A$2</f>
      </c>
      <c r="H23" s="6">
        <f>E23</f>
      </c>
      <c r="I23" s="6">
        <f>Parametri!$D$8</f>
      </c>
      <c r="J23" s="2"/>
      <c r="K23" s="5">
        <f>C23-B23</f>
      </c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</row>
    <row x14ac:dyDescent="0.25" r="24" customHeight="1" ht="17.25">
      <c r="A24" s="4">
        <f>A23+1</f>
      </c>
      <c r="B24" s="5">
        <v>1241</v>
      </c>
      <c r="C24" s="5">
        <v>1304</v>
      </c>
      <c r="D24" s="6">
        <f>IF(C24=0, B24, GEOMEAN(B24:C24))</f>
      </c>
      <c r="E24" s="6">
        <f>MAX(Parametri!$D$8, ABS(B24-C24)/(2*SQRT(3)))</f>
      </c>
      <c r="F24" s="6">
        <f>(A24-Parametri!$A$11)+Parametri!$A$2+(Parametri!$A$5/2)</f>
      </c>
      <c r="G24" s="6">
        <f>(D24-Parametri!$A$8)-(A24-Parametri!$A$11)+Parametri!$A$2</f>
      </c>
      <c r="H24" s="6">
        <f>E24</f>
      </c>
      <c r="I24" s="6">
        <f>Parametri!$D$8</f>
      </c>
      <c r="J24" s="2"/>
      <c r="K24" s="5">
        <f>C24-B24</f>
      </c>
      <c r="L24" s="2"/>
      <c r="M24" s="2"/>
      <c r="N24" s="2"/>
      <c r="O24" s="2"/>
      <c r="P24" s="2"/>
      <c r="Q24" s="2"/>
      <c r="R24" s="2"/>
      <c r="S24" s="2"/>
      <c r="T24" s="2"/>
      <c r="U24" s="3"/>
      <c r="V24" s="3"/>
    </row>
    <row x14ac:dyDescent="0.25" r="25" customHeight="1" ht="17.25">
      <c r="A25" s="4">
        <f>A24+1</f>
      </c>
      <c r="B25" s="5">
        <v>1236</v>
      </c>
      <c r="C25" s="5">
        <v>1289</v>
      </c>
      <c r="D25" s="6">
        <f>IF(C25=0, B25, GEOMEAN(B25:C25))</f>
      </c>
      <c r="E25" s="6">
        <f>MAX(Parametri!$D$8, ABS(B25-C25)/(2*SQRT(3)))</f>
      </c>
      <c r="F25" s="6">
        <f>(A25-Parametri!$A$11)+Parametri!$A$2+(Parametri!$A$5/2)</f>
      </c>
      <c r="G25" s="6">
        <f>(D25-Parametri!$A$8)-(A25-Parametri!$A$11)+Parametri!$A$2</f>
      </c>
      <c r="H25" s="6">
        <f>E25</f>
      </c>
      <c r="I25" s="6">
        <f>Parametri!$D$8</f>
      </c>
      <c r="J25" s="2"/>
      <c r="K25" s="5">
        <f>C25-B25</f>
      </c>
      <c r="L25" s="2"/>
      <c r="M25" s="2"/>
      <c r="N25" s="2"/>
      <c r="O25" s="2"/>
      <c r="P25" s="2"/>
      <c r="Q25" s="2"/>
      <c r="R25" s="2"/>
      <c r="S25" s="2"/>
      <c r="T25" s="2"/>
      <c r="U25" s="3"/>
      <c r="V25" s="3"/>
    </row>
    <row x14ac:dyDescent="0.25" r="26" customHeight="1" ht="17.25">
      <c r="A26" s="4">
        <f>A25+1</f>
      </c>
      <c r="B26" s="5">
        <v>1221</v>
      </c>
      <c r="C26" s="5">
        <v>1268</v>
      </c>
      <c r="D26" s="6">
        <f>IF(C26=0, B26, GEOMEAN(B26:C26))</f>
      </c>
      <c r="E26" s="6">
        <f>MAX(Parametri!$D$8, ABS(B26-C26)/(2*SQRT(3)))</f>
      </c>
      <c r="F26" s="6">
        <f>(A26-Parametri!$A$11)+Parametri!$A$2+(Parametri!$A$5/2)</f>
      </c>
      <c r="G26" s="6">
        <f>(D26-Parametri!$A$8)-(A26-Parametri!$A$11)+Parametri!$A$2</f>
      </c>
      <c r="H26" s="6">
        <f>E26</f>
      </c>
      <c r="I26" s="6">
        <f>Parametri!$D$8</f>
      </c>
      <c r="J26" s="2"/>
      <c r="K26" s="5">
        <f>C26-B26</f>
      </c>
      <c r="L26" s="2"/>
      <c r="M26" s="2"/>
      <c r="N26" s="2"/>
      <c r="O26" s="2"/>
      <c r="P26" s="2"/>
      <c r="Q26" s="2"/>
      <c r="R26" s="2"/>
      <c r="S26" s="2"/>
      <c r="T26" s="2"/>
      <c r="U26" s="3"/>
      <c r="V26" s="3"/>
    </row>
    <row x14ac:dyDescent="0.25" r="27" customHeight="1" ht="17.25">
      <c r="A27" s="4">
        <f>A26+1</f>
      </c>
      <c r="B27" s="5">
        <v>1206</v>
      </c>
      <c r="C27" s="5">
        <v>1254</v>
      </c>
      <c r="D27" s="6">
        <f>IF(C27=0, B27, GEOMEAN(B27:C27))</f>
      </c>
      <c r="E27" s="6">
        <f>MAX(Parametri!$D$8, ABS(B27-C27)/(2*SQRT(3)))</f>
      </c>
      <c r="F27" s="6">
        <f>(A27-Parametri!$A$11)+Parametri!$A$2+(Parametri!$A$5/2)</f>
      </c>
      <c r="G27" s="6">
        <f>(D27-Parametri!$A$8)-(A27-Parametri!$A$11)+Parametri!$A$2</f>
      </c>
      <c r="H27" s="6">
        <f>E27</f>
      </c>
      <c r="I27" s="6">
        <f>Parametri!$D$8</f>
      </c>
      <c r="J27" s="2"/>
      <c r="K27" s="5">
        <f>C27-B27</f>
      </c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</row>
    <row x14ac:dyDescent="0.25" r="28" customHeight="1" ht="17.25">
      <c r="A28" s="4">
        <f>A27+1</f>
      </c>
      <c r="B28" s="5">
        <v>1196</v>
      </c>
      <c r="C28" s="5">
        <v>1234</v>
      </c>
      <c r="D28" s="6">
        <f>IF(C28=0, B28, GEOMEAN(B28:C28))</f>
      </c>
      <c r="E28" s="6">
        <f>MAX(Parametri!$D$8, ABS(B28-C28)/(2*SQRT(3)))</f>
      </c>
      <c r="F28" s="6">
        <f>(A28-Parametri!$A$11)+Parametri!$A$2+(Parametri!$A$5/2)</f>
      </c>
      <c r="G28" s="6">
        <f>(D28-Parametri!$A$8)-(A28-Parametri!$A$11)+Parametri!$A$2</f>
      </c>
      <c r="H28" s="6">
        <f>E28</f>
      </c>
      <c r="I28" s="6">
        <f>Parametri!$D$8</f>
      </c>
      <c r="J28" s="2"/>
      <c r="K28" s="5">
        <f>C28-B28</f>
      </c>
      <c r="L28" s="2"/>
      <c r="M28" s="2"/>
      <c r="N28" s="2"/>
      <c r="O28" s="2"/>
      <c r="P28" s="2"/>
      <c r="Q28" s="2"/>
      <c r="R28" s="2"/>
      <c r="S28" s="2"/>
      <c r="T28" s="2"/>
      <c r="U28" s="3"/>
      <c r="V28" s="3"/>
    </row>
    <row x14ac:dyDescent="0.25" r="29" customHeight="1" ht="17.25">
      <c r="A29" s="4">
        <f>A28+1</f>
      </c>
      <c r="B29" s="5">
        <v>1180</v>
      </c>
      <c r="C29" s="5">
        <v>1223</v>
      </c>
      <c r="D29" s="6">
        <f>IF(C29=0, B29, GEOMEAN(B29:C29))</f>
      </c>
      <c r="E29" s="6">
        <f>MAX(Parametri!$D$8, ABS(B29-C29)/(2*SQRT(3)))</f>
      </c>
      <c r="F29" s="6">
        <f>(A29-Parametri!$A$11)+Parametri!$A$2+(Parametri!$A$5/2)</f>
      </c>
      <c r="G29" s="6">
        <f>(D29-Parametri!$A$8)-(A29-Parametri!$A$11)+Parametri!$A$2</f>
      </c>
      <c r="H29" s="6">
        <f>E29</f>
      </c>
      <c r="I29" s="6">
        <f>Parametri!$D$8</f>
      </c>
      <c r="J29" s="2"/>
      <c r="K29" s="5">
        <f>C29-B29</f>
      </c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</row>
    <row x14ac:dyDescent="0.25" r="30" customHeight="1" ht="17.25">
      <c r="A30" s="4">
        <f>A29+1</f>
      </c>
      <c r="B30" s="5">
        <v>1176</v>
      </c>
      <c r="C30" s="5">
        <v>1213</v>
      </c>
      <c r="D30" s="6">
        <f>IF(C30=0, B30, GEOMEAN(B30:C30))</f>
      </c>
      <c r="E30" s="6">
        <f>MAX(Parametri!$D$8, ABS(B30-C30)/(2*SQRT(3)))</f>
      </c>
      <c r="F30" s="6">
        <f>(A30-Parametri!$A$11)+Parametri!$A$2+(Parametri!$A$5/2)</f>
      </c>
      <c r="G30" s="6">
        <f>(D30-Parametri!$A$8)-(A30-Parametri!$A$11)+Parametri!$A$2</f>
      </c>
      <c r="H30" s="6">
        <f>E30</f>
      </c>
      <c r="I30" s="6">
        <f>Parametri!$D$8</f>
      </c>
      <c r="J30" s="2"/>
      <c r="K30" s="5">
        <f>C30-B30</f>
      </c>
      <c r="L30" s="2"/>
      <c r="M30" s="2"/>
      <c r="N30" s="2"/>
      <c r="O30" s="2"/>
      <c r="P30" s="2"/>
      <c r="Q30" s="2"/>
      <c r="R30" s="2"/>
      <c r="S30" s="2"/>
      <c r="T30" s="2"/>
      <c r="U30" s="3"/>
      <c r="V30" s="3"/>
    </row>
    <row x14ac:dyDescent="0.25" r="31" customHeight="1" ht="17.25">
      <c r="A31" s="4">
        <f>A30+1</f>
      </c>
      <c r="B31" s="5">
        <v>1164</v>
      </c>
      <c r="C31" s="5">
        <v>1205</v>
      </c>
      <c r="D31" s="6">
        <f>IF(C31=0, B31, GEOMEAN(B31:C31))</f>
      </c>
      <c r="E31" s="6">
        <f>MAX(Parametri!$D$8, ABS(B31-C31)/(2*SQRT(3)))</f>
      </c>
      <c r="F31" s="6">
        <f>(A31-Parametri!$A$11)+Parametri!$A$2+(Parametri!$A$5/2)</f>
      </c>
      <c r="G31" s="6">
        <f>(D31-Parametri!$A$8)-(A31-Parametri!$A$11)+Parametri!$A$2</f>
      </c>
      <c r="H31" s="6">
        <f>E31</f>
      </c>
      <c r="I31" s="6">
        <f>Parametri!$D$8</f>
      </c>
      <c r="J31" s="2"/>
      <c r="K31" s="5">
        <f>C31-B31</f>
      </c>
      <c r="L31" s="2"/>
      <c r="M31" s="2"/>
      <c r="N31" s="2"/>
      <c r="O31" s="2"/>
      <c r="P31" s="2"/>
      <c r="Q31" s="2"/>
      <c r="R31" s="2"/>
      <c r="S31" s="2"/>
      <c r="T31" s="2"/>
      <c r="U31" s="3"/>
      <c r="V31" s="3"/>
    </row>
    <row x14ac:dyDescent="0.25" r="32" customHeight="1" ht="17.25">
      <c r="A32" s="4">
        <f>A31+1</f>
      </c>
      <c r="B32" s="5">
        <v>1153</v>
      </c>
      <c r="C32" s="5">
        <v>1189</v>
      </c>
      <c r="D32" s="6">
        <f>IF(C32=0, B32, GEOMEAN(B32:C32))</f>
      </c>
      <c r="E32" s="6">
        <f>MAX(Parametri!$D$8, ABS(B32-C32)/(2*SQRT(3)))</f>
      </c>
      <c r="F32" s="6">
        <f>(A32-Parametri!$A$11)+Parametri!$A$2+(Parametri!$A$5/2)</f>
      </c>
      <c r="G32" s="6">
        <f>(D32-Parametri!$A$8)-(A32-Parametri!$A$11)+Parametri!$A$2</f>
      </c>
      <c r="H32" s="6">
        <f>E32</f>
      </c>
      <c r="I32" s="6">
        <f>Parametri!$D$8</f>
      </c>
      <c r="J32" s="2"/>
      <c r="K32" s="5">
        <f>C32-B32</f>
      </c>
      <c r="L32" s="2"/>
      <c r="M32" s="2"/>
      <c r="N32" s="2"/>
      <c r="O32" s="2"/>
      <c r="P32" s="2"/>
      <c r="Q32" s="2"/>
      <c r="R32" s="2"/>
      <c r="S32" s="2"/>
      <c r="T32" s="2"/>
      <c r="U32" s="3"/>
      <c r="V32" s="3"/>
    </row>
    <row x14ac:dyDescent="0.25" r="33" customHeight="1" ht="17.25">
      <c r="A33" s="4">
        <f>A32+1</f>
      </c>
      <c r="B33" s="5">
        <v>1149</v>
      </c>
      <c r="C33" s="5">
        <v>1182</v>
      </c>
      <c r="D33" s="6">
        <f>IF(C33=0, B33, GEOMEAN(B33:C33))</f>
      </c>
      <c r="E33" s="6">
        <f>MAX(Parametri!$D$8, ABS(B33-C33)/(2*SQRT(3)))</f>
      </c>
      <c r="F33" s="6">
        <f>(A33-Parametri!$A$11)+Parametri!$A$2+(Parametri!$A$5/2)</f>
      </c>
      <c r="G33" s="6">
        <f>(D33-Parametri!$A$8)-(A33-Parametri!$A$11)+Parametri!$A$2</f>
      </c>
      <c r="H33" s="6">
        <f>E33</f>
      </c>
      <c r="I33" s="6">
        <f>Parametri!$D$8</f>
      </c>
      <c r="J33" s="2"/>
      <c r="K33" s="5">
        <f>C33-B33</f>
      </c>
      <c r="L33" s="2"/>
      <c r="M33" s="2"/>
      <c r="N33" s="2"/>
      <c r="O33" s="2"/>
      <c r="P33" s="2"/>
      <c r="Q33" s="2"/>
      <c r="R33" s="2"/>
      <c r="S33" s="2"/>
      <c r="T33" s="2"/>
      <c r="U33" s="3"/>
      <c r="V33" s="3"/>
    </row>
    <row x14ac:dyDescent="0.25" r="34" customHeight="1" ht="17.25">
      <c r="A34" s="4">
        <f>A33+1</f>
      </c>
      <c r="B34" s="5">
        <v>1136</v>
      </c>
      <c r="C34" s="5">
        <v>1169</v>
      </c>
      <c r="D34" s="6">
        <f>IF(C34=0, B34, GEOMEAN(B34:C34))</f>
      </c>
      <c r="E34" s="6">
        <f>MAX(Parametri!$D$8, ABS(B34-C34)/(2*SQRT(3)))</f>
      </c>
      <c r="F34" s="6">
        <f>(A34-Parametri!$A$11)+Parametri!$A$2+(Parametri!$A$5/2)</f>
      </c>
      <c r="G34" s="6">
        <f>(D34-Parametri!$A$8)-(A34-Parametri!$A$11)+Parametri!$A$2</f>
      </c>
      <c r="H34" s="6">
        <f>E34</f>
      </c>
      <c r="I34" s="6">
        <f>Parametri!$D$8</f>
      </c>
      <c r="J34" s="2"/>
      <c r="K34" s="5">
        <f>C34-B34</f>
      </c>
      <c r="L34" s="2"/>
      <c r="M34" s="2"/>
      <c r="N34" s="2"/>
      <c r="O34" s="2"/>
      <c r="P34" s="2"/>
      <c r="Q34" s="2"/>
      <c r="R34" s="2"/>
      <c r="S34" s="2"/>
      <c r="T34" s="2"/>
      <c r="U34" s="3"/>
      <c r="V34" s="3"/>
    </row>
    <row x14ac:dyDescent="0.25" r="35" customHeight="1" ht="17.25">
      <c r="A35" s="4">
        <f>A34+1</f>
      </c>
      <c r="B35" s="5">
        <v>1122</v>
      </c>
      <c r="C35" s="5">
        <v>1163</v>
      </c>
      <c r="D35" s="6">
        <f>IF(C35=0, B35, GEOMEAN(B35:C35))</f>
      </c>
      <c r="E35" s="6">
        <f>MAX(Parametri!$D$8, ABS(B35-C35)/(2*SQRT(3)))</f>
      </c>
      <c r="F35" s="6">
        <f>(A35-Parametri!$A$11)+Parametri!$A$2+(Parametri!$A$5/2)</f>
      </c>
      <c r="G35" s="6">
        <f>(D35-Parametri!$A$8)-(A35-Parametri!$A$11)+Parametri!$A$2</f>
      </c>
      <c r="H35" s="6">
        <f>E35</f>
      </c>
      <c r="I35" s="6">
        <f>Parametri!$D$8</f>
      </c>
      <c r="J35" s="2"/>
      <c r="K35" s="5">
        <f>C35-B35</f>
      </c>
      <c r="L35" s="2"/>
      <c r="M35" s="2"/>
      <c r="N35" s="2"/>
      <c r="O35" s="2"/>
      <c r="P35" s="2"/>
      <c r="Q35" s="2"/>
      <c r="R35" s="2"/>
      <c r="S35" s="2"/>
      <c r="T35" s="2"/>
      <c r="U35" s="3"/>
      <c r="V35" s="3"/>
    </row>
    <row x14ac:dyDescent="0.25" r="36" customHeight="1" ht="17.25">
      <c r="A36" s="4">
        <f>A35+2</f>
      </c>
      <c r="B36" s="5">
        <v>1110</v>
      </c>
      <c r="C36" s="5">
        <v>1138</v>
      </c>
      <c r="D36" s="6">
        <f>IF(C36=0, B36, GEOMEAN(B36:C36))</f>
      </c>
      <c r="E36" s="6">
        <f>MAX(Parametri!$D$8, ABS(B36-C36)/(2*SQRT(3)))</f>
      </c>
      <c r="F36" s="6">
        <f>(A36-Parametri!$A$11)+Parametri!$A$2+(Parametri!$A$5/2)</f>
      </c>
      <c r="G36" s="6">
        <f>(D36-Parametri!$A$8)-(A36-Parametri!$A$11)+Parametri!$A$2</f>
      </c>
      <c r="H36" s="6">
        <f>E36</f>
      </c>
      <c r="I36" s="6">
        <f>Parametri!$D$8</f>
      </c>
      <c r="J36" s="2"/>
      <c r="K36" s="5">
        <f>C36-B36</f>
      </c>
      <c r="L36" s="2"/>
      <c r="M36" s="2"/>
      <c r="N36" s="2"/>
      <c r="O36" s="2"/>
      <c r="P36" s="2"/>
      <c r="Q36" s="2"/>
      <c r="R36" s="2"/>
      <c r="S36" s="2"/>
      <c r="T36" s="2"/>
      <c r="U36" s="3"/>
      <c r="V36" s="3"/>
    </row>
    <row x14ac:dyDescent="0.25" r="37" customHeight="1" ht="17.25">
      <c r="A37" s="4">
        <f>A36+2</f>
      </c>
      <c r="B37" s="5">
        <v>1094</v>
      </c>
      <c r="C37" s="5">
        <v>1121</v>
      </c>
      <c r="D37" s="6">
        <f>IF(C37=0, B37, GEOMEAN(B37:C37))</f>
      </c>
      <c r="E37" s="6">
        <f>MAX(Parametri!$D$8, ABS(B37-C37)/(2*SQRT(3)))</f>
      </c>
      <c r="F37" s="6">
        <f>(A37-Parametri!$A$11)+Parametri!$A$2+(Parametri!$A$5/2)</f>
      </c>
      <c r="G37" s="6">
        <f>(D37-Parametri!$A$8)-(A37-Parametri!$A$11)+Parametri!$A$2</f>
      </c>
      <c r="H37" s="6">
        <f>E37</f>
      </c>
      <c r="I37" s="6">
        <f>Parametri!$D$8</f>
      </c>
      <c r="J37" s="2"/>
      <c r="K37" s="5">
        <f>C37-B37</f>
      </c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</row>
    <row x14ac:dyDescent="0.25" r="38" customHeight="1" ht="17.25">
      <c r="A38" s="4">
        <f>A37+2</f>
      </c>
      <c r="B38" s="5">
        <v>1076</v>
      </c>
      <c r="C38" s="5">
        <v>1107</v>
      </c>
      <c r="D38" s="6">
        <f>IF(C38=0, B38, GEOMEAN(B38:C38))</f>
      </c>
      <c r="E38" s="6">
        <f>MAX(Parametri!$D$8, ABS(B38-C38)/(2*SQRT(3)))</f>
      </c>
      <c r="F38" s="6">
        <f>(A38-Parametri!$A$11)+Parametri!$A$2+(Parametri!$A$5/2)</f>
      </c>
      <c r="G38" s="6">
        <f>(D38-Parametri!$A$8)-(A38-Parametri!$A$11)+Parametri!$A$2</f>
      </c>
      <c r="H38" s="6">
        <f>E38</f>
      </c>
      <c r="I38" s="6">
        <f>Parametri!$D$8</f>
      </c>
      <c r="J38" s="2"/>
      <c r="K38" s="5">
        <f>C38-B38</f>
      </c>
      <c r="L38" s="2"/>
      <c r="M38" s="2"/>
      <c r="N38" s="2"/>
      <c r="O38" s="2"/>
      <c r="P38" s="2"/>
      <c r="Q38" s="2"/>
      <c r="R38" s="2"/>
      <c r="S38" s="2"/>
      <c r="T38" s="2"/>
      <c r="U38" s="3"/>
      <c r="V38" s="3"/>
    </row>
    <row x14ac:dyDescent="0.25" r="39" customHeight="1" ht="17.25">
      <c r="A39" s="4">
        <f>A38+2</f>
      </c>
      <c r="B39" s="5">
        <v>1064</v>
      </c>
      <c r="C39" s="5">
        <v>1092</v>
      </c>
      <c r="D39" s="6">
        <f>IF(C39=0, B39, GEOMEAN(B39:C39))</f>
      </c>
      <c r="E39" s="6">
        <f>MAX(Parametri!$D$8, ABS(B39-C39)/(2*SQRT(3)))</f>
      </c>
      <c r="F39" s="6">
        <f>(A39-Parametri!$A$11)+Parametri!$A$2+(Parametri!$A$5/2)</f>
      </c>
      <c r="G39" s="6">
        <f>(D39-Parametri!$A$8)-(A39-Parametri!$A$11)+Parametri!$A$2</f>
      </c>
      <c r="H39" s="6">
        <f>E39</f>
      </c>
      <c r="I39" s="6">
        <f>Parametri!$D$8</f>
      </c>
      <c r="J39" s="2"/>
      <c r="K39" s="5">
        <f>C39-B39</f>
      </c>
      <c r="L39" s="2"/>
      <c r="M39" s="2"/>
      <c r="N39" s="2"/>
      <c r="O39" s="2"/>
      <c r="P39" s="2"/>
      <c r="Q39" s="2"/>
      <c r="R39" s="2"/>
      <c r="S39" s="2"/>
      <c r="T39" s="2"/>
      <c r="U39" s="3"/>
      <c r="V39" s="3"/>
    </row>
    <row x14ac:dyDescent="0.25" r="40" customHeight="1" ht="17.25">
      <c r="A40" s="4">
        <f>A39+2</f>
      </c>
      <c r="B40" s="5">
        <v>1048</v>
      </c>
      <c r="C40" s="5">
        <v>1079</v>
      </c>
      <c r="D40" s="6">
        <f>IF(C40=0, B40, GEOMEAN(B40:C40))</f>
      </c>
      <c r="E40" s="6">
        <f>MAX(Parametri!$D$8, ABS(B40-C40)/(2*SQRT(3)))</f>
      </c>
      <c r="F40" s="6">
        <f>(A40-Parametri!$A$11)+Parametri!$A$2+(Parametri!$A$5/2)</f>
      </c>
      <c r="G40" s="6">
        <f>(D40-Parametri!$A$8)-(A40-Parametri!$A$11)+Parametri!$A$2</f>
      </c>
      <c r="H40" s="6">
        <f>E40</f>
      </c>
      <c r="I40" s="6">
        <f>Parametri!$D$8</f>
      </c>
      <c r="J40" s="2"/>
      <c r="K40" s="5">
        <f>C40-B40</f>
      </c>
      <c r="L40" s="2"/>
      <c r="M40" s="2"/>
      <c r="N40" s="2"/>
      <c r="O40" s="2"/>
      <c r="P40" s="2"/>
      <c r="Q40" s="2"/>
      <c r="R40" s="2"/>
      <c r="S40" s="2"/>
      <c r="T40" s="2"/>
      <c r="U40" s="3"/>
      <c r="V40" s="3"/>
    </row>
    <row x14ac:dyDescent="0.25" r="41" customHeight="1" ht="17.25">
      <c r="A41" s="4">
        <f>A40+2</f>
      </c>
      <c r="B41" s="5">
        <v>1041</v>
      </c>
      <c r="C41" s="5">
        <v>1064</v>
      </c>
      <c r="D41" s="6">
        <f>IF(C41=0, B41, GEOMEAN(B41:C41))</f>
      </c>
      <c r="E41" s="6">
        <f>MAX(Parametri!$D$8, ABS(B41-C41)/(2*SQRT(3)))</f>
      </c>
      <c r="F41" s="6">
        <f>(A41-Parametri!$A$11)+Parametri!$A$2+(Parametri!$A$5/2)</f>
      </c>
      <c r="G41" s="6">
        <f>(D41-Parametri!$A$8)-(A41-Parametri!$A$11)+Parametri!$A$2</f>
      </c>
      <c r="H41" s="6">
        <f>E41</f>
      </c>
      <c r="I41" s="6">
        <f>Parametri!$D$8</f>
      </c>
      <c r="J41" s="2"/>
      <c r="K41" s="5">
        <f>C41-B41</f>
      </c>
      <c r="L41" s="2"/>
      <c r="M41" s="2"/>
      <c r="N41" s="2"/>
      <c r="O41" s="2"/>
      <c r="P41" s="2"/>
      <c r="Q41" s="2"/>
      <c r="R41" s="2"/>
      <c r="S41" s="2"/>
      <c r="T41" s="2"/>
      <c r="U41" s="3"/>
      <c r="V41" s="3"/>
    </row>
    <row x14ac:dyDescent="0.25" r="42" customHeight="1" ht="17.25">
      <c r="A42" s="16">
        <f>A41+3</f>
      </c>
      <c r="B42" s="17">
        <v>1015</v>
      </c>
      <c r="C42" s="17">
        <v>1047</v>
      </c>
      <c r="D42" s="18">
        <f>IF(C42=0, B42, GEOMEAN(B42:C42))</f>
      </c>
      <c r="E42" s="6">
        <f>MAX(Parametri!$D$8, ABS(B42-C42)/(2*SQRT(3)))</f>
      </c>
      <c r="F42" s="18">
        <f>(A42-Parametri!$A$11)+Parametri!$A$2+(Parametri!$A$5/2)</f>
      </c>
      <c r="G42" s="18">
        <f>(D42-Parametri!$A$8)-(A42-Parametri!$A$11)+Parametri!$A$2</f>
      </c>
      <c r="H42" s="18">
        <f>E42</f>
      </c>
      <c r="I42" s="18">
        <f>Parametri!$D$8</f>
      </c>
      <c r="J42" s="2"/>
      <c r="K42" s="17">
        <f>C42-B42</f>
      </c>
      <c r="L42" s="2"/>
      <c r="M42" s="2"/>
      <c r="N42" s="2"/>
      <c r="O42" s="2"/>
      <c r="P42" s="2"/>
      <c r="Q42" s="2"/>
      <c r="R42" s="2"/>
      <c r="S42" s="2"/>
      <c r="T42" s="2"/>
      <c r="U42" s="3"/>
      <c r="V42" s="3"/>
    </row>
    <row x14ac:dyDescent="0.25" r="43" customHeight="1" ht="17.25">
      <c r="A43" s="4">
        <f>A42+1</f>
      </c>
      <c r="B43" s="5">
        <v>1011</v>
      </c>
      <c r="C43" s="5">
        <v>1044</v>
      </c>
      <c r="D43" s="6">
        <f>IF(C43=0, B43, GEOMEAN(B43:C43))</f>
      </c>
      <c r="E43" s="6">
        <f>MAX(Parametri!$D$8, ABS(B43-C43)/(2*SQRT(3)))</f>
      </c>
      <c r="F43" s="6">
        <f>(A43-Parametri!$A$11)+Parametri!$A$2+(Parametri!$A$5/2)</f>
      </c>
      <c r="G43" s="6">
        <f>(D43-Parametri!$A$8)-(A43-Parametri!$A$11)+Parametri!$A$2</f>
      </c>
      <c r="H43" s="6">
        <f>E43</f>
      </c>
      <c r="I43" s="6">
        <f>Parametri!$D$8</f>
      </c>
      <c r="J43" s="2"/>
      <c r="K43" s="5">
        <f>C43-B43</f>
      </c>
      <c r="L43" s="2"/>
      <c r="M43" s="2"/>
      <c r="N43" s="2"/>
      <c r="O43" s="2"/>
      <c r="P43" s="2"/>
      <c r="Q43" s="2"/>
      <c r="R43" s="2"/>
      <c r="S43" s="2"/>
      <c r="T43" s="2"/>
      <c r="U43" s="3"/>
      <c r="V43" s="3"/>
    </row>
    <row x14ac:dyDescent="0.25" r="44" customHeight="1" ht="17.25">
      <c r="A44" s="4">
        <f>A43+1</f>
      </c>
      <c r="B44" s="5">
        <v>1005</v>
      </c>
      <c r="C44" s="5">
        <v>1037</v>
      </c>
      <c r="D44" s="6">
        <f>IF(C44=0, B44, GEOMEAN(B44:C44))</f>
      </c>
      <c r="E44" s="6">
        <f>MAX(Parametri!$D$8, ABS(B44-C44)/(2*SQRT(3)))</f>
      </c>
      <c r="F44" s="6">
        <f>(A44-Parametri!$A$11)+Parametri!$A$2+(Parametri!$A$5/2)</f>
      </c>
      <c r="G44" s="6">
        <f>(D44-Parametri!$A$8)-(A44-Parametri!$A$11)+Parametri!$A$2</f>
      </c>
      <c r="H44" s="6">
        <f>E44</f>
      </c>
      <c r="I44" s="6">
        <f>Parametri!$D$8</f>
      </c>
      <c r="J44" s="2"/>
      <c r="K44" s="5">
        <f>C44-B44</f>
      </c>
      <c r="L44" s="2"/>
      <c r="M44" s="2"/>
      <c r="N44" s="2"/>
      <c r="O44" s="2"/>
      <c r="P44" s="2"/>
      <c r="Q44" s="2"/>
      <c r="R44" s="2"/>
      <c r="S44" s="2"/>
      <c r="T44" s="2"/>
      <c r="U44" s="3"/>
      <c r="V44" s="3"/>
    </row>
    <row x14ac:dyDescent="0.25" r="45" customHeight="1" ht="17.25">
      <c r="A45" s="4">
        <f>A44+1</f>
      </c>
      <c r="B45" s="5">
        <v>1001</v>
      </c>
      <c r="C45" s="5">
        <v>1020</v>
      </c>
      <c r="D45" s="6">
        <f>IF(C45=0, B45, GEOMEAN(B45:C45))</f>
      </c>
      <c r="E45" s="6">
        <f>MAX(Parametri!$D$8, ABS(B45-C45)/(2*SQRT(3)))</f>
      </c>
      <c r="F45" s="6">
        <f>(A45-Parametri!$A$11)+Parametri!$A$2+(Parametri!$A$5/2)</f>
      </c>
      <c r="G45" s="6">
        <f>(D45-Parametri!$A$8)-(A45-Parametri!$A$11)+Parametri!$A$2</f>
      </c>
      <c r="H45" s="6">
        <f>E45</f>
      </c>
      <c r="I45" s="6">
        <f>Parametri!$D$8</f>
      </c>
      <c r="J45" s="2"/>
      <c r="K45" s="5">
        <f>C45-B45</f>
      </c>
      <c r="L45" s="2"/>
      <c r="M45" s="2"/>
      <c r="N45" s="2"/>
      <c r="O45" s="2"/>
      <c r="P45" s="2"/>
      <c r="Q45" s="2"/>
      <c r="R45" s="2"/>
      <c r="S45" s="2"/>
      <c r="T45" s="2"/>
      <c r="U45" s="3"/>
      <c r="V45" s="3"/>
    </row>
    <row x14ac:dyDescent="0.25" r="46" customHeight="1" ht="17.25">
      <c r="A46" s="19">
        <f>A45+1</f>
      </c>
      <c r="B46" s="20">
        <v>992</v>
      </c>
      <c r="C46" s="20">
        <v>1015</v>
      </c>
      <c r="D46" s="21">
        <f>IF(C46=0, B46, GEOMEAN(B46:C46))</f>
      </c>
      <c r="E46" s="6">
        <f>MAX(Parametri!$D$8, ABS(B46-C46)/(2*SQRT(3)))</f>
      </c>
      <c r="F46" s="21">
        <f>(A46-Parametri!$A$11)+Parametri!$A$2+(Parametri!$A$5/2)</f>
      </c>
      <c r="G46" s="21">
        <f>(D46-Parametri!$A$8)-(A46-Parametri!$A$11)+Parametri!$A$2</f>
      </c>
      <c r="H46" s="21">
        <f>E46</f>
      </c>
      <c r="I46" s="21">
        <f>Parametri!$D$8</f>
      </c>
      <c r="J46" s="2"/>
      <c r="K46" s="20">
        <f>C46-B46</f>
      </c>
      <c r="L46" s="22" t="s">
        <v>14</v>
      </c>
      <c r="M46" s="2"/>
      <c r="N46" s="2"/>
      <c r="O46" s="2"/>
      <c r="P46" s="2"/>
      <c r="Q46" s="2"/>
      <c r="R46" s="2"/>
      <c r="S46" s="2"/>
      <c r="T46" s="2"/>
      <c r="U46" s="3"/>
      <c r="V46" s="3"/>
    </row>
    <row x14ac:dyDescent="0.25" r="47" customHeight="1" ht="17.25">
      <c r="A47" s="4">
        <f>A46+1</f>
      </c>
      <c r="B47" s="5">
        <v>992</v>
      </c>
      <c r="C47" s="5">
        <v>1015</v>
      </c>
      <c r="D47" s="6">
        <f>IF(C47=0, B47, GEOMEAN(B47:C47))</f>
      </c>
      <c r="E47" s="6">
        <f>MAX(Parametri!$D$8, ABS(B47-C47)/(2*SQRT(3)))</f>
      </c>
      <c r="F47" s="6">
        <f>(A47-Parametri!$A$11)+Parametri!$A$2+(Parametri!$A$5/2)</f>
      </c>
      <c r="G47" s="6">
        <f>(D47-Parametri!$A$8)-(A47-Parametri!$A$11)+Parametri!$A$2</f>
      </c>
      <c r="H47" s="6">
        <f>E47</f>
      </c>
      <c r="I47" s="6">
        <f>Parametri!$D$8</f>
      </c>
      <c r="J47" s="2"/>
      <c r="K47" s="5">
        <f>C47-B47</f>
      </c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</row>
    <row x14ac:dyDescent="0.25" r="48" customHeight="1" ht="17.25">
      <c r="A48" s="4">
        <f>A47+1</f>
      </c>
      <c r="B48" s="5">
        <v>986</v>
      </c>
      <c r="C48" s="5">
        <v>1006</v>
      </c>
      <c r="D48" s="6">
        <f>IF(C48=0, B48, GEOMEAN(B48:C48))</f>
      </c>
      <c r="E48" s="6">
        <f>MAX(Parametri!$D$8, ABS(B48-C48)/(2*SQRT(3)))</f>
      </c>
      <c r="F48" s="6">
        <f>(A48-Parametri!$A$11)+Parametri!$A$2+(Parametri!$A$5/2)</f>
      </c>
      <c r="G48" s="6">
        <f>(D48-Parametri!$A$8)-(A48-Parametri!$A$11)+Parametri!$A$2</f>
      </c>
      <c r="H48" s="6">
        <f>E48</f>
      </c>
      <c r="I48" s="6">
        <f>Parametri!$D$8</f>
      </c>
      <c r="J48" s="2"/>
      <c r="K48" s="5">
        <f>C48-B48</f>
      </c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</row>
    <row x14ac:dyDescent="0.25" r="49" customHeight="1" ht="17.25">
      <c r="A49" s="4">
        <f>A48+1</f>
      </c>
      <c r="B49" s="5">
        <v>985</v>
      </c>
      <c r="C49" s="5">
        <v>1000</v>
      </c>
      <c r="D49" s="6">
        <f>IF(C49=0, B49, GEOMEAN(B49:C49))</f>
      </c>
      <c r="E49" s="6">
        <f>MAX(Parametri!$D$8, ABS(B49-C49)/(2*SQRT(3)))</f>
      </c>
      <c r="F49" s="6">
        <f>(A49-Parametri!$A$11)+Parametri!$A$2+(Parametri!$A$5/2)</f>
      </c>
      <c r="G49" s="6">
        <f>(D49-Parametri!$A$8)-(A49-Parametri!$A$11)+Parametri!$A$2</f>
      </c>
      <c r="H49" s="6">
        <f>E49</f>
      </c>
      <c r="I49" s="6">
        <f>Parametri!$D$8</f>
      </c>
      <c r="J49" s="2"/>
      <c r="K49" s="5">
        <f>C49-B49</f>
      </c>
      <c r="L49" s="2"/>
      <c r="M49" s="2"/>
      <c r="N49" s="2"/>
      <c r="O49" s="2"/>
      <c r="P49" s="2"/>
      <c r="Q49" s="2"/>
      <c r="R49" s="2"/>
      <c r="S49" s="2"/>
      <c r="T49" s="2"/>
      <c r="U49" s="3"/>
      <c r="V49" s="3"/>
    </row>
    <row x14ac:dyDescent="0.25" r="50" customHeight="1" ht="17.25">
      <c r="A50" s="4">
        <f>A49+1</f>
      </c>
      <c r="B50" s="5">
        <v>981</v>
      </c>
      <c r="C50" s="5">
        <v>999</v>
      </c>
      <c r="D50" s="6">
        <f>IF(C50=0, B50, GEOMEAN(B50:C50))</f>
      </c>
      <c r="E50" s="6">
        <f>MAX(Parametri!$D$8, ABS(B50-C50)/(2*SQRT(3)))</f>
      </c>
      <c r="F50" s="6">
        <f>(A50-Parametri!$A$11)+Parametri!$A$2+(Parametri!$A$5/2)</f>
      </c>
      <c r="G50" s="6">
        <f>(D50-Parametri!$A$8)-(A50-Parametri!$A$11)+Parametri!$A$2</f>
      </c>
      <c r="H50" s="6">
        <f>E50</f>
      </c>
      <c r="I50" s="6">
        <f>Parametri!$D$8</f>
      </c>
      <c r="J50" s="2"/>
      <c r="K50" s="5">
        <f>C50-B50</f>
      </c>
      <c r="L50" s="2"/>
      <c r="M50" s="2"/>
      <c r="N50" s="2"/>
      <c r="O50" s="2"/>
      <c r="P50" s="2"/>
      <c r="Q50" s="2"/>
      <c r="R50" s="2"/>
      <c r="S50" s="2"/>
      <c r="T50" s="2"/>
      <c r="U50" s="3"/>
      <c r="V50" s="3"/>
    </row>
    <row x14ac:dyDescent="0.25" r="51" customHeight="1" ht="17.25">
      <c r="A51" s="4">
        <f>A50+1</f>
      </c>
      <c r="B51" s="5">
        <v>975</v>
      </c>
      <c r="C51" s="5">
        <v>992</v>
      </c>
      <c r="D51" s="6">
        <f>IF(C51=0, B51, GEOMEAN(B51:C51))</f>
      </c>
      <c r="E51" s="6">
        <f>MAX(Parametri!$D$8, ABS(B51-C51)/(2*SQRT(3)))</f>
      </c>
      <c r="F51" s="6">
        <f>(A51-Parametri!$A$11)+Parametri!$A$2+(Parametri!$A$5/2)</f>
      </c>
      <c r="G51" s="6">
        <f>(D51-Parametri!$A$8)-(A51-Parametri!$A$11)+Parametri!$A$2</f>
      </c>
      <c r="H51" s="6">
        <f>E51</f>
      </c>
      <c r="I51" s="6">
        <f>Parametri!$D$8</f>
      </c>
      <c r="J51" s="2"/>
      <c r="K51" s="5">
        <f>C51-B51</f>
      </c>
      <c r="L51" s="2"/>
      <c r="M51" s="2"/>
      <c r="N51" s="2"/>
      <c r="O51" s="2"/>
      <c r="P51" s="2"/>
      <c r="Q51" s="2"/>
      <c r="R51" s="2"/>
      <c r="S51" s="2"/>
      <c r="T51" s="2"/>
      <c r="U51" s="3"/>
      <c r="V51" s="3"/>
    </row>
    <row x14ac:dyDescent="0.25" r="52" customHeight="1" ht="17.25">
      <c r="A52" s="4">
        <f>A51+1</f>
      </c>
      <c r="B52" s="5">
        <v>971</v>
      </c>
      <c r="C52" s="5">
        <v>988</v>
      </c>
      <c r="D52" s="6">
        <f>IF(C52=0, B52, GEOMEAN(B52:C52))</f>
      </c>
      <c r="E52" s="6">
        <f>MAX(Parametri!$D$8, ABS(B52-C52)/(2*SQRT(3)))</f>
      </c>
      <c r="F52" s="6">
        <f>(A52-Parametri!$A$11)+Parametri!$A$2+(Parametri!$A$5/2)</f>
      </c>
      <c r="G52" s="6">
        <f>(D52-Parametri!$A$8)-(A52-Parametri!$A$11)+Parametri!$A$2</f>
      </c>
      <c r="H52" s="6">
        <f>E52</f>
      </c>
      <c r="I52" s="6">
        <f>Parametri!$D$8</f>
      </c>
      <c r="J52" s="2"/>
      <c r="K52" s="5">
        <f>C52-B52</f>
      </c>
      <c r="L52" s="2"/>
      <c r="M52" s="2"/>
      <c r="N52" s="2"/>
      <c r="O52" s="2"/>
      <c r="P52" s="2"/>
      <c r="Q52" s="2"/>
      <c r="R52" s="2"/>
      <c r="S52" s="2"/>
      <c r="T52" s="2"/>
      <c r="U52" s="3"/>
      <c r="V52" s="3"/>
    </row>
    <row x14ac:dyDescent="0.25" r="53" customHeight="1" ht="17.25">
      <c r="A53" s="4">
        <f>A52+1</f>
      </c>
      <c r="B53" s="5">
        <v>968</v>
      </c>
      <c r="C53" s="5">
        <v>987</v>
      </c>
      <c r="D53" s="6">
        <f>IF(C53=0, B53, GEOMEAN(B53:C53))</f>
      </c>
      <c r="E53" s="6">
        <f>MAX(Parametri!$D$8, ABS(B53-C53)/(2*SQRT(3)))</f>
      </c>
      <c r="F53" s="6">
        <f>(A53-Parametri!$A$11)+Parametri!$A$2+(Parametri!$A$5/2)</f>
      </c>
      <c r="G53" s="6">
        <f>(D53-Parametri!$A$8)-(A53-Parametri!$A$11)+Parametri!$A$2</f>
      </c>
      <c r="H53" s="6">
        <f>E53</f>
      </c>
      <c r="I53" s="6">
        <f>Parametri!$D$8</f>
      </c>
      <c r="J53" s="2"/>
      <c r="K53" s="5">
        <f>C53-B53</f>
      </c>
      <c r="L53" s="2"/>
      <c r="M53" s="2"/>
      <c r="N53" s="2"/>
      <c r="O53" s="2"/>
      <c r="P53" s="2"/>
      <c r="Q53" s="2"/>
      <c r="R53" s="2"/>
      <c r="S53" s="2"/>
      <c r="T53" s="2"/>
      <c r="U53" s="3"/>
      <c r="V53" s="3"/>
    </row>
    <row x14ac:dyDescent="0.25" r="54" customHeight="1" ht="17.25">
      <c r="A54" s="4">
        <f>A53+1</f>
      </c>
      <c r="B54" s="5">
        <v>965</v>
      </c>
      <c r="C54" s="5">
        <v>974</v>
      </c>
      <c r="D54" s="6">
        <f>IF(C54=0, B54, GEOMEAN(B54:C54))</f>
      </c>
      <c r="E54" s="6">
        <f>MAX(Parametri!$D$8, ABS(B54-C54)/(2*SQRT(3)))</f>
      </c>
      <c r="F54" s="6">
        <f>(A54-Parametri!$A$11)+Parametri!$A$2+(Parametri!$A$5/2)</f>
      </c>
      <c r="G54" s="6">
        <f>(D54-Parametri!$A$8)-(A54-Parametri!$A$11)+Parametri!$A$2</f>
      </c>
      <c r="H54" s="6">
        <f>E54</f>
      </c>
      <c r="I54" s="6">
        <f>Parametri!$D$8</f>
      </c>
      <c r="J54" s="2"/>
      <c r="K54" s="5">
        <f>C54-B54</f>
      </c>
      <c r="L54" s="2"/>
      <c r="M54" s="2"/>
      <c r="N54" s="2"/>
      <c r="O54" s="2"/>
      <c r="P54" s="2"/>
      <c r="Q54" s="2"/>
      <c r="R54" s="2"/>
      <c r="S54" s="2"/>
      <c r="T54" s="2"/>
      <c r="U54" s="3"/>
      <c r="V54" s="3"/>
    </row>
    <row x14ac:dyDescent="0.25" r="55" customHeight="1" ht="17.25">
      <c r="A55" s="4">
        <f>A54+1</f>
      </c>
      <c r="B55" s="5">
        <v>960</v>
      </c>
      <c r="C55" s="5">
        <v>976</v>
      </c>
      <c r="D55" s="6">
        <f>IF(C55=0, B55, GEOMEAN(B55:C55))</f>
      </c>
      <c r="E55" s="6">
        <f>MAX(Parametri!$D$8, ABS(B55-C55)/(2*SQRT(3)))</f>
      </c>
      <c r="F55" s="6">
        <f>(A55-Parametri!$A$11)+Parametri!$A$2+(Parametri!$A$5/2)</f>
      </c>
      <c r="G55" s="6">
        <f>(D55-Parametri!$A$8)-(A55-Parametri!$A$11)+Parametri!$A$2</f>
      </c>
      <c r="H55" s="6">
        <f>E55</f>
      </c>
      <c r="I55" s="6">
        <f>Parametri!$D$8</f>
      </c>
      <c r="J55" s="2"/>
      <c r="K55" s="5">
        <f>C55-B55</f>
      </c>
      <c r="L55" s="2"/>
      <c r="M55" s="2"/>
      <c r="N55" s="2"/>
      <c r="O55" s="2"/>
      <c r="P55" s="2"/>
      <c r="Q55" s="2"/>
      <c r="R55" s="2"/>
      <c r="S55" s="2"/>
      <c r="T55" s="2"/>
      <c r="U55" s="3"/>
      <c r="V55" s="3"/>
    </row>
    <row x14ac:dyDescent="0.25" r="56" customHeight="1" ht="17.25">
      <c r="A56" s="4">
        <f>A55+1</f>
      </c>
      <c r="B56" s="5">
        <v>957</v>
      </c>
      <c r="C56" s="5">
        <v>969</v>
      </c>
      <c r="D56" s="6">
        <f>IF(C56=0, B56, GEOMEAN(B56:C56))</f>
      </c>
      <c r="E56" s="6">
        <f>MAX(Parametri!$D$8, ABS(B56-C56)/(2*SQRT(3)))</f>
      </c>
      <c r="F56" s="6">
        <f>(A56-Parametri!$A$11)+Parametri!$A$2+(Parametri!$A$5/2)</f>
      </c>
      <c r="G56" s="6">
        <f>(D56-Parametri!$A$8)-(A56-Parametri!$A$11)+Parametri!$A$2</f>
      </c>
      <c r="H56" s="6">
        <f>E56</f>
      </c>
      <c r="I56" s="6">
        <f>Parametri!$D$8</f>
      </c>
      <c r="J56" s="2"/>
      <c r="K56" s="5">
        <f>C56-B56</f>
      </c>
      <c r="L56" s="2"/>
      <c r="M56" s="2"/>
      <c r="N56" s="2"/>
      <c r="O56" s="2"/>
      <c r="P56" s="2"/>
      <c r="Q56" s="2"/>
      <c r="R56" s="2"/>
      <c r="S56" s="2"/>
      <c r="T56" s="2"/>
      <c r="U56" s="3"/>
      <c r="V56" s="3"/>
    </row>
    <row x14ac:dyDescent="0.25" r="57" customHeight="1" ht="17.25">
      <c r="A57" s="4">
        <f>A56+1</f>
      </c>
      <c r="B57" s="5">
        <v>955</v>
      </c>
      <c r="C57" s="5">
        <v>967</v>
      </c>
      <c r="D57" s="6">
        <f>IF(C57=0, B57, GEOMEAN(B57:C57))</f>
      </c>
      <c r="E57" s="6">
        <f>MAX(Parametri!$D$8, ABS(B57-C57)/(2*SQRT(3)))</f>
      </c>
      <c r="F57" s="6">
        <f>(A57-Parametri!$A$11)+Parametri!$A$2+(Parametri!$A$5/2)</f>
      </c>
      <c r="G57" s="6">
        <f>(D57-Parametri!$A$8)-(A57-Parametri!$A$11)+Parametri!$A$2</f>
      </c>
      <c r="H57" s="6">
        <f>E57</f>
      </c>
      <c r="I57" s="6">
        <f>Parametri!$D$8</f>
      </c>
      <c r="J57" s="2"/>
      <c r="K57" s="5">
        <f>C57-B57</f>
      </c>
      <c r="L57" s="2"/>
      <c r="M57" s="2"/>
      <c r="N57" s="2"/>
      <c r="O57" s="2"/>
      <c r="P57" s="2"/>
      <c r="Q57" s="2"/>
      <c r="R57" s="2"/>
      <c r="S57" s="2"/>
      <c r="T57" s="2"/>
      <c r="U57" s="3"/>
      <c r="V57" s="3"/>
    </row>
    <row x14ac:dyDescent="0.25" r="58" customHeight="1" ht="17.25">
      <c r="A58" s="4">
        <f>A57+2</f>
      </c>
      <c r="B58" s="5">
        <v>945</v>
      </c>
      <c r="C58" s="5">
        <v>961</v>
      </c>
      <c r="D58" s="6">
        <f>IF(C58=0, B58, GEOMEAN(B58:C58))</f>
      </c>
      <c r="E58" s="6">
        <f>MAX(Parametri!$D$8, ABS(B58-C58)/(2*SQRT(3)))</f>
      </c>
      <c r="F58" s="6">
        <f>(A58-Parametri!$A$11)+Parametri!$A$2+(Parametri!$A$5/2)</f>
      </c>
      <c r="G58" s="6">
        <f>(D58-Parametri!$A$8)-(A58-Parametri!$A$11)+Parametri!$A$2</f>
      </c>
      <c r="H58" s="6">
        <f>E58</f>
      </c>
      <c r="I58" s="6">
        <f>Parametri!$D$8</f>
      </c>
      <c r="J58" s="2"/>
      <c r="K58" s="5">
        <f>C58-B58</f>
      </c>
      <c r="L58" s="2"/>
      <c r="M58" s="2"/>
      <c r="N58" s="2"/>
      <c r="O58" s="2"/>
      <c r="P58" s="2"/>
      <c r="Q58" s="2"/>
      <c r="R58" s="2"/>
      <c r="S58" s="2"/>
      <c r="T58" s="2"/>
      <c r="U58" s="3"/>
      <c r="V58" s="3"/>
    </row>
    <row x14ac:dyDescent="0.25" r="59" customHeight="1" ht="17.25">
      <c r="A59" s="4">
        <f>A58+2</f>
      </c>
      <c r="B59" s="5">
        <v>940</v>
      </c>
      <c r="C59" s="5">
        <v>953</v>
      </c>
      <c r="D59" s="6">
        <f>IF(C59=0, B59, GEOMEAN(B59:C59))</f>
      </c>
      <c r="E59" s="6">
        <f>MAX(Parametri!$D$8, ABS(B59-C59)/(2*SQRT(3)))</f>
      </c>
      <c r="F59" s="6">
        <f>(A59-Parametri!$A$11)+Parametri!$A$2+(Parametri!$A$5/2)</f>
      </c>
      <c r="G59" s="6">
        <f>(D59-Parametri!$A$8)-(A59-Parametri!$A$11)+Parametri!$A$2</f>
      </c>
      <c r="H59" s="6">
        <f>E59</f>
      </c>
      <c r="I59" s="6">
        <f>Parametri!$D$8</f>
      </c>
      <c r="J59" s="2"/>
      <c r="K59" s="5">
        <f>C59-B59</f>
      </c>
      <c r="L59" s="2"/>
      <c r="M59" s="2"/>
      <c r="N59" s="2"/>
      <c r="O59" s="2"/>
      <c r="P59" s="2"/>
      <c r="Q59" s="2"/>
      <c r="R59" s="2"/>
      <c r="S59" s="2"/>
      <c r="T59" s="2"/>
      <c r="U59" s="3"/>
      <c r="V59" s="3"/>
    </row>
    <row x14ac:dyDescent="0.25" r="60" customHeight="1" ht="17.25">
      <c r="A60" s="4">
        <f>A59+2</f>
      </c>
      <c r="B60" s="5">
        <v>929</v>
      </c>
      <c r="C60" s="5">
        <v>945</v>
      </c>
      <c r="D60" s="6">
        <f>IF(C60=0, B60, GEOMEAN(B60:C60))</f>
      </c>
      <c r="E60" s="6">
        <f>MAX(Parametri!$D$8, ABS(B60-C60)/(2*SQRT(3)))</f>
      </c>
      <c r="F60" s="6">
        <f>(A60-Parametri!$A$11)+Parametri!$A$2+(Parametri!$A$5/2)</f>
      </c>
      <c r="G60" s="6">
        <f>(D60-Parametri!$A$8)-(A60-Parametri!$A$11)+Parametri!$A$2</f>
      </c>
      <c r="H60" s="6">
        <f>E60</f>
      </c>
      <c r="I60" s="6">
        <f>Parametri!$D$8</f>
      </c>
      <c r="J60" s="2"/>
      <c r="K60" s="5">
        <f>C60-B60</f>
      </c>
      <c r="L60" s="2"/>
      <c r="M60" s="2"/>
      <c r="N60" s="2"/>
      <c r="O60" s="2"/>
      <c r="P60" s="2"/>
      <c r="Q60" s="2"/>
      <c r="R60" s="2"/>
      <c r="S60" s="2"/>
      <c r="T60" s="2"/>
      <c r="U60" s="3"/>
      <c r="V60" s="3"/>
    </row>
    <row x14ac:dyDescent="0.25" r="61" customHeight="1" ht="17.25">
      <c r="A61" s="4">
        <f>A60+5</f>
      </c>
      <c r="B61" s="5">
        <v>916</v>
      </c>
      <c r="C61" s="5">
        <v>930</v>
      </c>
      <c r="D61" s="6">
        <f>IF(C61=0, B61, GEOMEAN(B61:C61))</f>
      </c>
      <c r="E61" s="6">
        <f>MAX(Parametri!$D$8, ABS(B61-C61)/(2*SQRT(3)))</f>
      </c>
      <c r="F61" s="6">
        <f>(A61-Parametri!$A$11)+Parametri!$A$2+(Parametri!$A$5/2)</f>
      </c>
      <c r="G61" s="6">
        <f>(D61-Parametri!$A$8)-(A61-Parametri!$A$11)+Parametri!$A$2</f>
      </c>
      <c r="H61" s="6">
        <f>E61</f>
      </c>
      <c r="I61" s="6">
        <f>Parametri!$D$8</f>
      </c>
      <c r="J61" s="2"/>
      <c r="K61" s="5">
        <f>C61-B61</f>
      </c>
      <c r="L61" s="2"/>
      <c r="M61" s="2"/>
      <c r="N61" s="2"/>
      <c r="O61" s="2"/>
      <c r="P61" s="2"/>
      <c r="Q61" s="2"/>
      <c r="R61" s="2"/>
      <c r="S61" s="2"/>
      <c r="T61" s="2"/>
      <c r="U61" s="3"/>
      <c r="V61" s="3"/>
    </row>
    <row x14ac:dyDescent="0.25" r="62" customHeight="1" ht="17.25">
      <c r="A62" s="4">
        <f>A61+5</f>
      </c>
      <c r="B62" s="5">
        <v>906</v>
      </c>
      <c r="C62" s="5">
        <v>915</v>
      </c>
      <c r="D62" s="6">
        <f>IF(C62=0, B62, GEOMEAN(B62:C62))</f>
      </c>
      <c r="E62" s="6">
        <f>MAX(Parametri!$D$8, ABS(B62-C62)/(2*SQRT(3)))</f>
      </c>
      <c r="F62" s="6">
        <f>(A62-Parametri!$A$11)+Parametri!$A$2+(Parametri!$A$5/2)</f>
      </c>
      <c r="G62" s="6">
        <f>(D62-Parametri!$A$8)-(A62-Parametri!$A$11)+Parametri!$A$2</f>
      </c>
      <c r="H62" s="6">
        <f>E62</f>
      </c>
      <c r="I62" s="6">
        <f>Parametri!$D$8</f>
      </c>
      <c r="J62" s="2"/>
      <c r="K62" s="5">
        <f>C62-B62</f>
      </c>
      <c r="L62" s="2"/>
      <c r="M62" s="2"/>
      <c r="N62" s="2"/>
      <c r="O62" s="2"/>
      <c r="P62" s="2"/>
      <c r="Q62" s="2"/>
      <c r="R62" s="2"/>
      <c r="S62" s="2"/>
      <c r="T62" s="2"/>
      <c r="U62" s="3"/>
      <c r="V62" s="3"/>
    </row>
    <row x14ac:dyDescent="0.25" r="63" customHeight="1" ht="17.25">
      <c r="A63" s="23">
        <f>A62+5</f>
      </c>
      <c r="B63" s="24">
        <v>886</v>
      </c>
      <c r="C63" s="3"/>
      <c r="D63" s="24">
        <f>IF(C63=0, B63, GEOMEAN(B63:C63))</f>
      </c>
      <c r="E63" s="25">
        <f>MAX(Parametri!$D$8, ABS(B63-C63)/(2*SQRT(3)))</f>
      </c>
      <c r="F63" s="25">
        <f>(A63-Parametri!$A$11)+Parametri!$A$2+(Parametri!$A$5/2)</f>
      </c>
      <c r="G63" s="25">
        <f>(D63-Parametri!$A$8)-(A63-Parametri!$A$11)+Parametri!$A$2</f>
      </c>
      <c r="H63" s="25">
        <f>E63</f>
      </c>
      <c r="I63" s="25">
        <f>Parametri!$D$8</f>
      </c>
      <c r="J63" s="2"/>
      <c r="K63" s="24">
        <f>C63-B63</f>
      </c>
      <c r="L63" s="26" t="s">
        <v>15</v>
      </c>
      <c r="M63" s="2"/>
      <c r="N63" s="2"/>
      <c r="O63" s="2"/>
      <c r="P63" s="2"/>
      <c r="Q63" s="2"/>
      <c r="R63" s="2"/>
      <c r="S63" s="2"/>
      <c r="T63" s="2"/>
      <c r="U63" s="3"/>
      <c r="V63" s="3"/>
    </row>
    <row x14ac:dyDescent="0.25" r="64" customHeight="1" ht="17.25">
      <c r="A64" s="4">
        <f>A63+5</f>
      </c>
      <c r="B64" s="5">
        <v>871</v>
      </c>
      <c r="C64" s="3"/>
      <c r="D64" s="5">
        <f>IF(C64=0, B64, GEOMEAN(B64:C64))</f>
      </c>
      <c r="E64" s="6">
        <f>MAX(Parametri!$D$8, ABS(B64-C64)/(2*SQRT(3)))</f>
      </c>
      <c r="F64" s="6">
        <f>(A64-Parametri!$A$11)+Parametri!$A$2+(Parametri!$A$5/2)</f>
      </c>
      <c r="G64" s="6">
        <f>(D64-Parametri!$A$8)-(A64-Parametri!$A$11)+Parametri!$A$2</f>
      </c>
      <c r="H64" s="6">
        <f>E64</f>
      </c>
      <c r="I64" s="6">
        <f>Parametri!$D$8</f>
      </c>
      <c r="J64" s="2"/>
      <c r="K64" s="5">
        <f>C64-B64</f>
      </c>
      <c r="L64" s="2"/>
      <c r="M64" s="2"/>
      <c r="N64" s="2"/>
      <c r="O64" s="2"/>
      <c r="P64" s="2"/>
      <c r="Q64" s="2"/>
      <c r="R64" s="2"/>
      <c r="S64" s="2"/>
      <c r="T64" s="2"/>
      <c r="U64" s="3"/>
      <c r="V64" s="3"/>
    </row>
    <row x14ac:dyDescent="0.25" r="65" customHeight="1" ht="17.25">
      <c r="A65" s="4">
        <f>A64+5</f>
      </c>
      <c r="B65" s="5">
        <v>870</v>
      </c>
      <c r="C65" s="3"/>
      <c r="D65" s="5">
        <f>IF(C65=0, B65, GEOMEAN(B65:C65))</f>
      </c>
      <c r="E65" s="6">
        <f>MAX(Parametri!$D$8, ABS(B65-C65)/(2*SQRT(3)))</f>
      </c>
      <c r="F65" s="6">
        <f>(A65-Parametri!$A$11)+Parametri!$A$2+(Parametri!$A$5/2)</f>
      </c>
      <c r="G65" s="6">
        <f>(D65-Parametri!$A$8)-(A65-Parametri!$A$11)+Parametri!$A$2</f>
      </c>
      <c r="H65" s="6">
        <f>E65</f>
      </c>
      <c r="I65" s="6">
        <f>Parametri!$D$8</f>
      </c>
      <c r="J65" s="2"/>
      <c r="K65" s="5">
        <f>C65-B65</f>
      </c>
      <c r="L65" s="2"/>
      <c r="M65" s="2"/>
      <c r="N65" s="2"/>
      <c r="O65" s="2"/>
      <c r="P65" s="2"/>
      <c r="Q65" s="2"/>
      <c r="R65" s="2"/>
      <c r="S65" s="2"/>
      <c r="T65" s="2"/>
      <c r="U65" s="3"/>
      <c r="V65" s="3"/>
    </row>
    <row x14ac:dyDescent="0.25" r="66" customHeight="1" ht="17.25">
      <c r="A66" s="4">
        <f>A65+5</f>
      </c>
      <c r="B66" s="5">
        <v>864</v>
      </c>
      <c r="C66" s="3"/>
      <c r="D66" s="5">
        <f>IF(C66=0, B66, GEOMEAN(B66:C66))</f>
      </c>
      <c r="E66" s="6">
        <f>MAX(Parametri!$D$8, ABS(B66-C66)/(2*SQRT(3)))</f>
      </c>
      <c r="F66" s="6">
        <f>(A66-Parametri!$A$11)+Parametri!$A$2+(Parametri!$A$5/2)</f>
      </c>
      <c r="G66" s="6">
        <f>(D66-Parametri!$A$8)-(A66-Parametri!$A$11)+Parametri!$A$2</f>
      </c>
      <c r="H66" s="6">
        <f>E66</f>
      </c>
      <c r="I66" s="6">
        <f>Parametri!$D$8</f>
      </c>
      <c r="J66" s="2"/>
      <c r="K66" s="5">
        <f>C66-B66</f>
      </c>
      <c r="L66" s="2"/>
      <c r="M66" s="2"/>
      <c r="N66" s="2"/>
      <c r="O66" s="2"/>
      <c r="P66" s="2"/>
      <c r="Q66" s="2"/>
      <c r="R66" s="2"/>
      <c r="S66" s="2"/>
      <c r="T66" s="2"/>
      <c r="U66" s="3"/>
      <c r="V66" s="3"/>
    </row>
    <row x14ac:dyDescent="0.25" r="67" customHeight="1" ht="17.25">
      <c r="A67" s="4">
        <f>A66+5</f>
      </c>
      <c r="B67" s="5">
        <v>856</v>
      </c>
      <c r="C67" s="3"/>
      <c r="D67" s="5">
        <f>IF(C67=0, B67, GEOMEAN(B67:C67))</f>
      </c>
      <c r="E67" s="6">
        <f>MAX(Parametri!$D$8, ABS(B67-C67)/(2*SQRT(3)))</f>
      </c>
      <c r="F67" s="6">
        <f>(A67-Parametri!$A$11)+Parametri!$A$2+(Parametri!$A$5/2)</f>
      </c>
      <c r="G67" s="6">
        <f>(D67-Parametri!$A$8)-(A67-Parametri!$A$11)+Parametri!$A$2</f>
      </c>
      <c r="H67" s="6">
        <f>E67</f>
      </c>
      <c r="I67" s="6">
        <f>Parametri!$D$8</f>
      </c>
      <c r="J67" s="2"/>
      <c r="K67" s="5">
        <f>C67-B67</f>
      </c>
      <c r="L67" s="2"/>
      <c r="M67" s="2"/>
      <c r="N67" s="2"/>
      <c r="O67" s="2"/>
      <c r="P67" s="2"/>
      <c r="Q67" s="2"/>
      <c r="R67" s="2"/>
      <c r="S67" s="2"/>
      <c r="T67" s="2"/>
      <c r="U67" s="3"/>
      <c r="V67" s="3"/>
    </row>
    <row x14ac:dyDescent="0.25" r="68" customHeight="1" ht="17.25">
      <c r="A68" s="4">
        <f>A67+5</f>
      </c>
      <c r="B68" s="5">
        <v>851</v>
      </c>
      <c r="C68" s="3"/>
      <c r="D68" s="5">
        <f>IF(C68=0, B68, GEOMEAN(B68:C68))</f>
      </c>
      <c r="E68" s="6">
        <f>MAX(Parametri!$D$8, ABS(B68-C68)/(2*SQRT(3)))</f>
      </c>
      <c r="F68" s="6">
        <f>(A68-Parametri!$A$11)+Parametri!$A$2+(Parametri!$A$5/2)</f>
      </c>
      <c r="G68" s="6">
        <f>(D68-Parametri!$A$8)-(A68-Parametri!$A$11)+Parametri!$A$2</f>
      </c>
      <c r="H68" s="6">
        <f>E68</f>
      </c>
      <c r="I68" s="6">
        <f>Parametri!$D$8</f>
      </c>
      <c r="J68" s="2"/>
      <c r="K68" s="5">
        <f>C68-B68</f>
      </c>
      <c r="L68" s="2"/>
      <c r="M68" s="2"/>
      <c r="N68" s="2"/>
      <c r="O68" s="2"/>
      <c r="P68" s="2"/>
      <c r="Q68" s="2"/>
      <c r="R68" s="2"/>
      <c r="S68" s="2"/>
      <c r="T68" s="2"/>
      <c r="U68" s="3"/>
      <c r="V68" s="3"/>
    </row>
    <row x14ac:dyDescent="0.25" r="69" customHeight="1" ht="17.25">
      <c r="A69" s="4">
        <f>A68+5</f>
      </c>
      <c r="B69" s="5">
        <v>846</v>
      </c>
      <c r="C69" s="3"/>
      <c r="D69" s="5">
        <f>IF(C69=0, B69, GEOMEAN(B69:C69))</f>
      </c>
      <c r="E69" s="6">
        <f>MAX(Parametri!$D$8, ABS(B69-C69)/(2*SQRT(3)))</f>
      </c>
      <c r="F69" s="6">
        <f>(A69-Parametri!$A$11)+Parametri!$A$2+(Parametri!$A$5/2)</f>
      </c>
      <c r="G69" s="6">
        <f>(D69-Parametri!$A$8)-(A69-Parametri!$A$11)+Parametri!$A$2</f>
      </c>
      <c r="H69" s="6">
        <f>E69</f>
      </c>
      <c r="I69" s="6">
        <f>Parametri!$D$8</f>
      </c>
      <c r="J69" s="2"/>
      <c r="K69" s="5">
        <f>C69-B69</f>
      </c>
      <c r="L69" s="2"/>
      <c r="M69" s="2"/>
      <c r="N69" s="2"/>
      <c r="O69" s="2"/>
      <c r="P69" s="2"/>
      <c r="Q69" s="2"/>
      <c r="R69" s="2"/>
      <c r="S69" s="2"/>
      <c r="T69" s="2"/>
      <c r="U69" s="3"/>
      <c r="V69" s="3"/>
    </row>
    <row x14ac:dyDescent="0.25" r="70" customHeight="1" ht="17.25">
      <c r="A70" s="4">
        <f>A69+5</f>
      </c>
      <c r="B70" s="5">
        <v>840</v>
      </c>
      <c r="C70" s="3"/>
      <c r="D70" s="5">
        <f>IF(C70=0, B70, GEOMEAN(B70:C70))</f>
      </c>
      <c r="E70" s="6">
        <f>MAX(Parametri!$D$8, ABS(B70-C70)/(2*SQRT(3)))</f>
      </c>
      <c r="F70" s="6">
        <f>(A70-Parametri!$A$11)+Parametri!$A$2+(Parametri!$A$5/2)</f>
      </c>
      <c r="G70" s="6">
        <f>(D70-Parametri!$A$8)-(A70-Parametri!$A$11)+Parametri!$A$2</f>
      </c>
      <c r="H70" s="6">
        <f>E70</f>
      </c>
      <c r="I70" s="6">
        <f>Parametri!$D$8</f>
      </c>
      <c r="J70" s="2"/>
      <c r="K70" s="5">
        <f>C70-B70</f>
      </c>
      <c r="L70" s="2"/>
      <c r="M70" s="2"/>
      <c r="N70" s="2"/>
      <c r="O70" s="2"/>
      <c r="P70" s="2"/>
      <c r="Q70" s="2"/>
      <c r="R70" s="2"/>
      <c r="S70" s="2"/>
      <c r="T70" s="2"/>
      <c r="U70" s="3"/>
      <c r="V70" s="3"/>
    </row>
    <row x14ac:dyDescent="0.25" r="71" customHeight="1" ht="17.25">
      <c r="A71" s="4">
        <f>A70+5</f>
      </c>
      <c r="B71" s="5">
        <v>835</v>
      </c>
      <c r="C71" s="3"/>
      <c r="D71" s="5">
        <f>IF(C71=0, B71, GEOMEAN(B71:C71))</f>
      </c>
      <c r="E71" s="6">
        <f>MAX(Parametri!$D$8, ABS(B71-C71)/(2*SQRT(3)))</f>
      </c>
      <c r="F71" s="6">
        <f>(A71-Parametri!$A$11)+Parametri!$A$2+(Parametri!$A$5/2)</f>
      </c>
      <c r="G71" s="6">
        <f>(D71-Parametri!$A$8)-(A71-Parametri!$A$11)+Parametri!$A$2</f>
      </c>
      <c r="H71" s="6">
        <f>E71</f>
      </c>
      <c r="I71" s="6">
        <f>Parametri!$D$8</f>
      </c>
      <c r="J71" s="2"/>
      <c r="K71" s="5">
        <f>C71-B71</f>
      </c>
      <c r="L71" s="2"/>
      <c r="M71" s="2"/>
      <c r="N71" s="2"/>
      <c r="O71" s="2"/>
      <c r="P71" s="2"/>
      <c r="Q71" s="2"/>
      <c r="R71" s="2"/>
      <c r="S71" s="2"/>
      <c r="T71" s="2"/>
      <c r="U71" s="3"/>
      <c r="V71" s="3"/>
    </row>
    <row x14ac:dyDescent="0.25" r="72" customHeight="1" ht="17.25">
      <c r="A72" s="4">
        <f>A71+5</f>
      </c>
      <c r="B72" s="5">
        <v>833</v>
      </c>
      <c r="C72" s="3"/>
      <c r="D72" s="5">
        <f>IF(C72=0, B72, GEOMEAN(B72:C72))</f>
      </c>
      <c r="E72" s="6">
        <f>MAX(Parametri!$D$8, ABS(B72-C72)/(2*SQRT(3)))</f>
      </c>
      <c r="F72" s="6">
        <f>(A72-Parametri!$A$11)+Parametri!$A$2+(Parametri!$A$5/2)</f>
      </c>
      <c r="G72" s="6">
        <f>(D72-Parametri!$A$8)-(A72-Parametri!$A$11)+Parametri!$A$2</f>
      </c>
      <c r="H72" s="6">
        <f>E72</f>
      </c>
      <c r="I72" s="6">
        <f>Parametri!$D$8</f>
      </c>
      <c r="J72" s="2"/>
      <c r="K72" s="5">
        <f>C72-B72</f>
      </c>
      <c r="L72" s="2"/>
      <c r="M72" s="2"/>
      <c r="N72" s="2"/>
      <c r="O72" s="2"/>
      <c r="P72" s="2"/>
      <c r="Q72" s="2"/>
      <c r="R72" s="2"/>
      <c r="S72" s="2"/>
      <c r="T72" s="2"/>
      <c r="U72" s="3"/>
      <c r="V72" s="3"/>
    </row>
    <row x14ac:dyDescent="0.25" r="73" customHeight="1" ht="17.25">
      <c r="A73" s="4">
        <f>A72+5</f>
      </c>
      <c r="B73" s="5">
        <v>832</v>
      </c>
      <c r="C73" s="3"/>
      <c r="D73" s="5">
        <f>IF(C73=0, B73, GEOMEAN(B73:C73))</f>
      </c>
      <c r="E73" s="6">
        <f>MAX(Parametri!$D$8, ABS(B73-C73)/(2*SQRT(3)))</f>
      </c>
      <c r="F73" s="6">
        <f>(A73-Parametri!$A$11)+Parametri!$A$2+(Parametri!$A$5/2)</f>
      </c>
      <c r="G73" s="6">
        <f>(D73-Parametri!$A$8)-(A73-Parametri!$A$11)+Parametri!$A$2</f>
      </c>
      <c r="H73" s="6">
        <f>E73</f>
      </c>
      <c r="I73" s="6">
        <f>Parametri!$D$8</f>
      </c>
      <c r="J73" s="2"/>
      <c r="K73" s="5">
        <f>C73-B73</f>
      </c>
      <c r="L73" s="2"/>
      <c r="M73" s="2"/>
      <c r="N73" s="2"/>
      <c r="O73" s="2"/>
      <c r="P73" s="2"/>
      <c r="Q73" s="2"/>
      <c r="R73" s="2"/>
      <c r="S73" s="2"/>
      <c r="T73" s="2"/>
      <c r="U73" s="3"/>
      <c r="V73" s="3"/>
    </row>
    <row x14ac:dyDescent="0.25" r="74" customHeight="1" ht="17.25">
      <c r="A74" s="4">
        <f>A73+5</f>
      </c>
      <c r="B74" s="5">
        <v>828</v>
      </c>
      <c r="C74" s="3"/>
      <c r="D74" s="5">
        <f>IF(C74=0, B74, GEOMEAN(B74:C74))</f>
      </c>
      <c r="E74" s="6">
        <f>MAX(Parametri!$D$8, ABS(B74-C74)/(2*SQRT(3)))</f>
      </c>
      <c r="F74" s="6">
        <f>(A74-Parametri!$A$11)+Parametri!$A$2+(Parametri!$A$5/2)</f>
      </c>
      <c r="G74" s="6">
        <f>(D74-Parametri!$A$8)-(A74-Parametri!$A$11)+Parametri!$A$2</f>
      </c>
      <c r="H74" s="6">
        <f>E74</f>
      </c>
      <c r="I74" s="6">
        <f>Parametri!$D$8</f>
      </c>
      <c r="J74" s="2"/>
      <c r="K74" s="5">
        <f>C74-B74</f>
      </c>
      <c r="L74" s="2"/>
      <c r="M74" s="2"/>
      <c r="N74" s="2"/>
      <c r="O74" s="2"/>
      <c r="P74" s="2"/>
      <c r="Q74" s="2"/>
      <c r="R74" s="2"/>
      <c r="S74" s="2"/>
      <c r="T74" s="2"/>
      <c r="U74" s="3"/>
      <c r="V74" s="3"/>
    </row>
    <row x14ac:dyDescent="0.25" r="75" customHeight="1" ht="17.25">
      <c r="A75" s="4">
        <f>A74+5</f>
      </c>
      <c r="B75" s="5">
        <v>825</v>
      </c>
      <c r="C75" s="3"/>
      <c r="D75" s="5">
        <f>IF(C75=0, B75, GEOMEAN(B75:C75))</f>
      </c>
      <c r="E75" s="6">
        <f>MAX(Parametri!$D$8, ABS(B75-C75)/(2*SQRT(3)))</f>
      </c>
      <c r="F75" s="6">
        <f>(A75-Parametri!$A$11)+Parametri!$A$2+(Parametri!$A$5/2)</f>
      </c>
      <c r="G75" s="6">
        <f>(D75-Parametri!$A$8)-(A75-Parametri!$A$11)+Parametri!$A$2</f>
      </c>
      <c r="H75" s="6">
        <f>E75</f>
      </c>
      <c r="I75" s="6">
        <f>Parametri!$D$8</f>
      </c>
      <c r="J75" s="2"/>
      <c r="K75" s="5">
        <f>C75-B75</f>
      </c>
      <c r="L75" s="2"/>
      <c r="M75" s="2"/>
      <c r="N75" s="2"/>
      <c r="O75" s="2"/>
      <c r="P75" s="2"/>
      <c r="Q75" s="2"/>
      <c r="R75" s="2"/>
      <c r="S75" s="2"/>
      <c r="T75" s="2"/>
      <c r="U75" s="3"/>
      <c r="V75" s="3"/>
    </row>
    <row x14ac:dyDescent="0.25" r="76" customHeight="1" ht="17.25">
      <c r="A76" s="4">
        <f>A75+5</f>
      </c>
      <c r="B76" s="5">
        <v>822</v>
      </c>
      <c r="C76" s="3"/>
      <c r="D76" s="5">
        <f>IF(C76=0, B76, GEOMEAN(B76:C76))</f>
      </c>
      <c r="E76" s="6">
        <f>MAX(Parametri!$D$8, ABS(B76-C76)/(2*SQRT(3)))</f>
      </c>
      <c r="F76" s="6">
        <f>(A76-Parametri!$A$11)+Parametri!$A$2+(Parametri!$A$5/2)</f>
      </c>
      <c r="G76" s="6">
        <f>(D76-Parametri!$A$8)-(A76-Parametri!$A$11)+Parametri!$A$2</f>
      </c>
      <c r="H76" s="6">
        <f>E76</f>
      </c>
      <c r="I76" s="6">
        <f>Parametri!$D$8</f>
      </c>
      <c r="J76" s="2"/>
      <c r="K76" s="5">
        <f>C76-B76</f>
      </c>
      <c r="L76" s="2"/>
      <c r="M76" s="2"/>
      <c r="N76" s="2"/>
      <c r="O76" s="2"/>
      <c r="P76" s="2"/>
      <c r="Q76" s="2"/>
      <c r="R76" s="2"/>
      <c r="S76" s="2"/>
      <c r="T76" s="2"/>
      <c r="U76" s="3"/>
      <c r="V76" s="3"/>
    </row>
    <row x14ac:dyDescent="0.25" r="77" customHeight="1" ht="17.25">
      <c r="A77" s="4">
        <f>A76+5</f>
      </c>
      <c r="B77" s="5">
        <v>820</v>
      </c>
      <c r="C77" s="3"/>
      <c r="D77" s="5">
        <f>IF(C77=0, B77, GEOMEAN(B77:C77))</f>
      </c>
      <c r="E77" s="6">
        <f>MAX(Parametri!$D$8, ABS(B77-C77)/(2*SQRT(3)))</f>
      </c>
      <c r="F77" s="6">
        <f>(A77-Parametri!$A$11)+Parametri!$A$2+(Parametri!$A$5/2)</f>
      </c>
      <c r="G77" s="6">
        <f>(D77-Parametri!$A$8)-(A77-Parametri!$A$11)+Parametri!$A$2</f>
      </c>
      <c r="H77" s="6">
        <f>E77</f>
      </c>
      <c r="I77" s="6">
        <f>Parametri!$D$8</f>
      </c>
      <c r="J77" s="2"/>
      <c r="K77" s="5">
        <f>C77-B77</f>
      </c>
      <c r="L77" s="2"/>
      <c r="M77" s="2"/>
      <c r="N77" s="2"/>
      <c r="O77" s="2"/>
      <c r="P77" s="2"/>
      <c r="Q77" s="2"/>
      <c r="R77" s="2"/>
      <c r="S77" s="2"/>
      <c r="T77" s="2"/>
      <c r="U77" s="3"/>
      <c r="V77" s="3"/>
    </row>
    <row x14ac:dyDescent="0.25" r="78" customHeight="1" ht="17.25">
      <c r="A78" s="4">
        <f>A77+5</f>
      </c>
      <c r="B78" s="5">
        <v>816</v>
      </c>
      <c r="C78" s="3"/>
      <c r="D78" s="5">
        <f>IF(C78=0, B78, GEOMEAN(B78:C78))</f>
      </c>
      <c r="E78" s="6">
        <f>MAX(Parametri!$D$8, ABS(B78-C78)/(2*SQRT(3)))</f>
      </c>
      <c r="F78" s="6">
        <f>(A78-Parametri!$A$11)+Parametri!$A$2+(Parametri!$A$5/2)</f>
      </c>
      <c r="G78" s="6">
        <f>(D78-Parametri!$A$8)-(A78-Parametri!$A$11)+Parametri!$A$2</f>
      </c>
      <c r="H78" s="6">
        <f>E78</f>
      </c>
      <c r="I78" s="6">
        <f>Parametri!$D$8</f>
      </c>
      <c r="J78" s="2"/>
      <c r="K78" s="5">
        <f>C78-B78</f>
      </c>
      <c r="L78" s="2"/>
      <c r="M78" s="2"/>
      <c r="N78" s="2"/>
      <c r="O78" s="2"/>
      <c r="P78" s="2"/>
      <c r="Q78" s="2"/>
      <c r="R78" s="2"/>
      <c r="S78" s="2"/>
      <c r="T78" s="2"/>
      <c r="U78" s="3"/>
      <c r="V78" s="3"/>
    </row>
    <row x14ac:dyDescent="0.25" r="79" customHeight="1" ht="17.25">
      <c r="A79" s="4">
        <f>A78+5</f>
      </c>
      <c r="B79" s="5">
        <v>814</v>
      </c>
      <c r="C79" s="3"/>
      <c r="D79" s="5">
        <f>IF(C79=0, B79, GEOMEAN(B79:C79))</f>
      </c>
      <c r="E79" s="6">
        <f>MAX(Parametri!$D$8, ABS(B79-C79)/(2*SQRT(3)))</f>
      </c>
      <c r="F79" s="6">
        <f>(A79-Parametri!$A$11)+Parametri!$A$2+(Parametri!$A$5/2)</f>
      </c>
      <c r="G79" s="6">
        <f>(D79-Parametri!$A$8)-(A79-Parametri!$A$11)+Parametri!$A$2</f>
      </c>
      <c r="H79" s="6">
        <f>E79</f>
      </c>
      <c r="I79" s="6">
        <f>Parametri!$D$8</f>
      </c>
      <c r="J79" s="2"/>
      <c r="K79" s="5">
        <f>C79-B79</f>
      </c>
      <c r="L79" s="2"/>
      <c r="M79" s="2"/>
      <c r="N79" s="2"/>
      <c r="O79" s="2"/>
      <c r="P79" s="2"/>
      <c r="Q79" s="2"/>
      <c r="R79" s="2"/>
      <c r="S79" s="2"/>
      <c r="T79" s="2"/>
      <c r="U79" s="3"/>
      <c r="V79" s="3"/>
    </row>
    <row x14ac:dyDescent="0.25" r="80" customHeight="1" ht="17.25">
      <c r="A80" s="4">
        <f>A79+5</f>
      </c>
      <c r="B80" s="5">
        <v>822</v>
      </c>
      <c r="C80" s="3"/>
      <c r="D80" s="5">
        <f>IF(C80=0, B80, GEOMEAN(B80:C80))</f>
      </c>
      <c r="E80" s="6">
        <f>MAX(Parametri!$D$8, ABS(B80-C80)/(2*SQRT(3)))</f>
      </c>
      <c r="F80" s="6">
        <f>(A80-Parametri!$A$11)+Parametri!$A$2+(Parametri!$A$5/2)</f>
      </c>
      <c r="G80" s="6">
        <f>(D80-Parametri!$A$8)-(A80-Parametri!$A$11)+Parametri!$A$2</f>
      </c>
      <c r="H80" s="6">
        <f>E80</f>
      </c>
      <c r="I80" s="6">
        <f>Parametri!$D$8</f>
      </c>
      <c r="J80" s="2"/>
      <c r="K80" s="5">
        <f>C80-B80</f>
      </c>
      <c r="L80" s="2"/>
      <c r="M80" s="2"/>
      <c r="N80" s="2"/>
      <c r="O80" s="2"/>
      <c r="P80" s="2"/>
      <c r="Q80" s="2"/>
      <c r="R80" s="2"/>
      <c r="S80" s="2"/>
      <c r="T80" s="2"/>
      <c r="U80" s="3"/>
      <c r="V80" s="3"/>
    </row>
    <row x14ac:dyDescent="0.25" r="81" customHeight="1" ht="17.25">
      <c r="A81" s="4">
        <f>A80+5</f>
      </c>
      <c r="B81" s="5">
        <v>825</v>
      </c>
      <c r="C81" s="3"/>
      <c r="D81" s="5">
        <f>IF(C81=0, B81, GEOMEAN(B81:C81))</f>
      </c>
      <c r="E81" s="6">
        <f>MAX(Parametri!$D$8, ABS(B81-C81)/(2*SQRT(3)))</f>
      </c>
      <c r="F81" s="6">
        <f>(A81-Parametri!$A$11)+Parametri!$A$2+(Parametri!$A$5/2)</f>
      </c>
      <c r="G81" s="6">
        <f>(D81-Parametri!$A$8)-(A81-Parametri!$A$11)+Parametri!$A$2</f>
      </c>
      <c r="H81" s="6">
        <f>E81</f>
      </c>
      <c r="I81" s="6">
        <f>Parametri!$D$8</f>
      </c>
      <c r="J81" s="2"/>
      <c r="K81" s="5">
        <f>C81-B81</f>
      </c>
      <c r="L81" s="2"/>
      <c r="M81" s="2"/>
      <c r="N81" s="2"/>
      <c r="O81" s="2"/>
      <c r="P81" s="2"/>
      <c r="Q81" s="2"/>
      <c r="R81" s="2"/>
      <c r="S81" s="2"/>
      <c r="T81" s="2"/>
      <c r="U81" s="3"/>
      <c r="V81" s="3"/>
    </row>
    <row x14ac:dyDescent="0.25" r="82" customHeight="1" ht="17.25">
      <c r="A82" s="4">
        <f>A81+5</f>
      </c>
      <c r="B82" s="5">
        <v>827</v>
      </c>
      <c r="C82" s="3"/>
      <c r="D82" s="5">
        <f>IF(C82=0, B82, GEOMEAN(B82:C82))</f>
      </c>
      <c r="E82" s="6">
        <f>MAX(Parametri!$D$8, ABS(B82-C82)/(2*SQRT(3)))</f>
      </c>
      <c r="F82" s="6">
        <f>(A82-Parametri!$A$11)+Parametri!$A$2+(Parametri!$A$5/2)</f>
      </c>
      <c r="G82" s="6">
        <f>(D82-Parametri!$A$8)-(A82-Parametri!$A$11)+Parametri!$A$2</f>
      </c>
      <c r="H82" s="6">
        <f>E82</f>
      </c>
      <c r="I82" s="6">
        <f>Parametri!$D$8</f>
      </c>
      <c r="J82" s="2"/>
      <c r="K82" s="5">
        <f>C82-B82</f>
      </c>
      <c r="L82" s="2"/>
      <c r="M82" s="2"/>
      <c r="N82" s="2"/>
      <c r="O82" s="2"/>
      <c r="P82" s="2"/>
      <c r="Q82" s="2"/>
      <c r="R82" s="2"/>
      <c r="S82" s="2"/>
      <c r="T82" s="2"/>
      <c r="U82" s="3"/>
      <c r="V82" s="3"/>
    </row>
    <row x14ac:dyDescent="0.25" r="83" customHeight="1" ht="17.25">
      <c r="A83" s="4">
        <f>A82+5</f>
      </c>
      <c r="B83" s="5">
        <v>827</v>
      </c>
      <c r="C83" s="3"/>
      <c r="D83" s="5">
        <f>IF(C83=0, B83, GEOMEAN(B83:C83))</f>
      </c>
      <c r="E83" s="6">
        <f>MAX(Parametri!$D$8, ABS(B83-C83)/(2*SQRT(3)))</f>
      </c>
      <c r="F83" s="6">
        <f>(A83-Parametri!$A$11)+Parametri!$A$2+(Parametri!$A$5/2)</f>
      </c>
      <c r="G83" s="6">
        <f>(D83-Parametri!$A$8)-(A83-Parametri!$A$11)+Parametri!$A$2</f>
      </c>
      <c r="H83" s="6">
        <f>E83</f>
      </c>
      <c r="I83" s="6">
        <f>Parametri!$D$8</f>
      </c>
      <c r="J83" s="2"/>
      <c r="K83" s="5">
        <f>C83-B83</f>
      </c>
      <c r="L83" s="2"/>
      <c r="M83" s="2"/>
      <c r="N83" s="2"/>
      <c r="O83" s="2"/>
      <c r="P83" s="2"/>
      <c r="Q83" s="2"/>
      <c r="R83" s="2"/>
      <c r="S83" s="2"/>
      <c r="T83" s="2"/>
      <c r="U83" s="3"/>
      <c r="V83" s="3"/>
    </row>
    <row x14ac:dyDescent="0.25" r="84" customHeight="1" ht="17.25">
      <c r="A84" s="4">
        <f>A83+5</f>
      </c>
      <c r="B84" s="5">
        <v>829</v>
      </c>
      <c r="C84" s="3"/>
      <c r="D84" s="5">
        <f>IF(C84=0, B84, GEOMEAN(B84:C84))</f>
      </c>
      <c r="E84" s="6">
        <f>MAX(Parametri!$D$8, ABS(B84-C84)/(2*SQRT(3)))</f>
      </c>
      <c r="F84" s="6">
        <f>(A84-Parametri!$A$11)+Parametri!$A$2+(Parametri!$A$5/2)</f>
      </c>
      <c r="G84" s="6">
        <f>(D84-Parametri!$A$8)-(A84-Parametri!$A$11)+Parametri!$A$2</f>
      </c>
      <c r="H84" s="6">
        <f>E84</f>
      </c>
      <c r="I84" s="6">
        <f>Parametri!$D$8</f>
      </c>
      <c r="J84" s="2"/>
      <c r="K84" s="5">
        <f>C84-B84</f>
      </c>
      <c r="L84" s="2"/>
      <c r="M84" s="2"/>
      <c r="N84" s="2"/>
      <c r="O84" s="2"/>
      <c r="P84" s="2"/>
      <c r="Q84" s="2"/>
      <c r="R84" s="2"/>
      <c r="S84" s="2"/>
      <c r="T84" s="2"/>
      <c r="U84" s="3"/>
      <c r="V84" s="3"/>
    </row>
    <row x14ac:dyDescent="0.25" r="85" customHeight="1" ht="17.25">
      <c r="A85" s="4">
        <f>A84+5</f>
      </c>
      <c r="B85" s="5">
        <v>830</v>
      </c>
      <c r="C85" s="3"/>
      <c r="D85" s="5">
        <f>IF(C85=0, B85, GEOMEAN(B85:C85))</f>
      </c>
      <c r="E85" s="6">
        <f>MAX(Parametri!$D$8, ABS(B85-C85)/(2*SQRT(3)))</f>
      </c>
      <c r="F85" s="6">
        <f>(A85-Parametri!$A$11)+Parametri!$A$2+(Parametri!$A$5/2)</f>
      </c>
      <c r="G85" s="6">
        <f>(D85-Parametri!$A$8)-(A85-Parametri!$A$11)+Parametri!$A$2</f>
      </c>
      <c r="H85" s="6">
        <f>E85</f>
      </c>
      <c r="I85" s="6">
        <f>Parametri!$D$8</f>
      </c>
      <c r="J85" s="2"/>
      <c r="K85" s="5">
        <f>C85-B85</f>
      </c>
      <c r="L85" s="2"/>
      <c r="M85" s="2"/>
      <c r="N85" s="2"/>
      <c r="O85" s="2"/>
      <c r="P85" s="2"/>
      <c r="Q85" s="2"/>
      <c r="R85" s="2"/>
      <c r="S85" s="2"/>
      <c r="T85" s="2"/>
      <c r="U85" s="3"/>
      <c r="V85" s="3"/>
    </row>
    <row x14ac:dyDescent="0.25" r="86" customHeight="1" ht="17.25">
      <c r="A86" s="4">
        <f>A85+5</f>
      </c>
      <c r="B86" s="5">
        <v>831</v>
      </c>
      <c r="C86" s="3"/>
      <c r="D86" s="5">
        <f>IF(C86=0, B86, GEOMEAN(B86:C86))</f>
      </c>
      <c r="E86" s="6">
        <f>MAX(Parametri!$D$8, ABS(B86-C86)/(2*SQRT(3)))</f>
      </c>
      <c r="F86" s="6">
        <f>(A86-Parametri!$A$11)+Parametri!$A$2+(Parametri!$A$5/2)</f>
      </c>
      <c r="G86" s="6">
        <f>(D86-Parametri!$A$8)-(A86-Parametri!$A$11)+Parametri!$A$2</f>
      </c>
      <c r="H86" s="6">
        <f>E86</f>
      </c>
      <c r="I86" s="6">
        <f>Parametri!$D$8</f>
      </c>
      <c r="J86" s="2"/>
      <c r="K86" s="5">
        <f>C86-B86</f>
      </c>
      <c r="L86" s="2"/>
      <c r="M86" s="2"/>
      <c r="N86" s="2"/>
      <c r="O86" s="2"/>
      <c r="P86" s="2"/>
      <c r="Q86" s="2"/>
      <c r="R86" s="2"/>
      <c r="S86" s="2"/>
      <c r="T86" s="2"/>
      <c r="U86" s="3"/>
      <c r="V86" s="3"/>
    </row>
    <row x14ac:dyDescent="0.25" r="87" customHeight="1" ht="17.25">
      <c r="A87" s="4">
        <f>A86+10</f>
      </c>
      <c r="B87" s="5">
        <v>832</v>
      </c>
      <c r="C87" s="3"/>
      <c r="D87" s="5">
        <f>IF(C87=0, B87, GEOMEAN(B87:C87))</f>
      </c>
      <c r="E87" s="6">
        <f>MAX(Parametri!$D$8, ABS(B87-C87)/(2*SQRT(3)))</f>
      </c>
      <c r="F87" s="6">
        <f>(A87-Parametri!$A$11)+Parametri!$A$2+(Parametri!$A$5/2)</f>
      </c>
      <c r="G87" s="6">
        <f>(D87-Parametri!$A$8)-(A87-Parametri!$A$11)+Parametri!$A$2</f>
      </c>
      <c r="H87" s="6">
        <f>E87</f>
      </c>
      <c r="I87" s="6">
        <f>Parametri!$D$8</f>
      </c>
      <c r="J87" s="2"/>
      <c r="K87" s="5">
        <f>C87-B87</f>
      </c>
      <c r="L87" s="2"/>
      <c r="M87" s="2"/>
      <c r="N87" s="2"/>
      <c r="O87" s="2"/>
      <c r="P87" s="2"/>
      <c r="Q87" s="2"/>
      <c r="R87" s="2"/>
      <c r="S87" s="2"/>
      <c r="T87" s="2"/>
      <c r="U87" s="3"/>
      <c r="V87" s="3"/>
    </row>
    <row x14ac:dyDescent="0.25" r="88" customHeight="1" ht="17.25">
      <c r="A88" s="4">
        <f>A87+10</f>
      </c>
      <c r="B88" s="5">
        <v>837</v>
      </c>
      <c r="C88" s="3"/>
      <c r="D88" s="5">
        <f>IF(C88=0, B88, GEOMEAN(B88:C88))</f>
      </c>
      <c r="E88" s="6">
        <f>MAX(Parametri!$D$8, ABS(B88-C88)/(2*SQRT(3)))</f>
      </c>
      <c r="F88" s="6">
        <f>(A88-Parametri!$A$11)+Parametri!$A$2+(Parametri!$A$5/2)</f>
      </c>
      <c r="G88" s="6">
        <f>(D88-Parametri!$A$8)-(A88-Parametri!$A$11)+Parametri!$A$2</f>
      </c>
      <c r="H88" s="6">
        <f>E88</f>
      </c>
      <c r="I88" s="6">
        <f>Parametri!$D$8</f>
      </c>
      <c r="J88" s="2"/>
      <c r="K88" s="5">
        <f>C88-B88</f>
      </c>
      <c r="L88" s="2"/>
      <c r="M88" s="2"/>
      <c r="N88" s="2"/>
      <c r="O88" s="2"/>
      <c r="P88" s="2"/>
      <c r="Q88" s="2"/>
      <c r="R88" s="2"/>
      <c r="S88" s="2"/>
      <c r="T88" s="2"/>
      <c r="U88" s="3"/>
      <c r="V88" s="3"/>
    </row>
    <row x14ac:dyDescent="0.25" r="89" customHeight="1" ht="17.25">
      <c r="A89" s="4">
        <f>A88+10</f>
      </c>
      <c r="B89" s="5">
        <v>840</v>
      </c>
      <c r="C89" s="3"/>
      <c r="D89" s="5">
        <f>IF(C89=0, B89, GEOMEAN(B89:C89))</f>
      </c>
      <c r="E89" s="6">
        <f>MAX(Parametri!$D$8, ABS(B89-C89)/(2*SQRT(3)))</f>
      </c>
      <c r="F89" s="6">
        <f>(A89-Parametri!$A$11)+Parametri!$A$2+(Parametri!$A$5/2)</f>
      </c>
      <c r="G89" s="6">
        <f>(D89-Parametri!$A$8)-(A89-Parametri!$A$11)+Parametri!$A$2</f>
      </c>
      <c r="H89" s="6">
        <f>E89</f>
      </c>
      <c r="I89" s="6">
        <f>Parametri!$D$8</f>
      </c>
      <c r="J89" s="2"/>
      <c r="K89" s="5">
        <f>C89-B89</f>
      </c>
      <c r="L89" s="2"/>
      <c r="M89" s="2"/>
      <c r="N89" s="2"/>
      <c r="O89" s="2"/>
      <c r="P89" s="2"/>
      <c r="Q89" s="2"/>
      <c r="R89" s="2"/>
      <c r="S89" s="2"/>
      <c r="T89" s="2"/>
      <c r="U89" s="3"/>
      <c r="V89" s="3"/>
    </row>
    <row x14ac:dyDescent="0.25" r="90" customHeight="1" ht="17.25">
      <c r="A90" s="4">
        <f>A89+10</f>
      </c>
      <c r="B90" s="5">
        <v>835</v>
      </c>
      <c r="C90" s="3"/>
      <c r="D90" s="5">
        <f>IF(C90=0, B90, GEOMEAN(B90:C90))</f>
      </c>
      <c r="E90" s="6">
        <f>MAX(Parametri!$D$8, ABS(B90-C90)/(2*SQRT(3)))</f>
      </c>
      <c r="F90" s="6">
        <f>(A90-Parametri!$A$11)+Parametri!$A$2+(Parametri!$A$5/2)</f>
      </c>
      <c r="G90" s="6">
        <f>(D90-Parametri!$A$8)-(A90-Parametri!$A$11)+Parametri!$A$2</f>
      </c>
      <c r="H90" s="6">
        <f>E90</f>
      </c>
      <c r="I90" s="6">
        <f>Parametri!$D$8</f>
      </c>
      <c r="J90" s="2"/>
      <c r="K90" s="5">
        <f>C90-B90</f>
      </c>
      <c r="L90" s="2"/>
      <c r="M90" s="2"/>
      <c r="N90" s="2"/>
      <c r="O90" s="2"/>
      <c r="P90" s="2"/>
      <c r="Q90" s="2"/>
      <c r="R90" s="2"/>
      <c r="S90" s="2"/>
      <c r="T90" s="2"/>
      <c r="U90" s="3"/>
      <c r="V90" s="3"/>
    </row>
    <row x14ac:dyDescent="0.25" r="91" customHeight="1" ht="17.25">
      <c r="A91" s="4">
        <f>A90+10</f>
      </c>
      <c r="B91" s="5">
        <v>850</v>
      </c>
      <c r="C91" s="3"/>
      <c r="D91" s="5">
        <f>IF(C91=0, B91, GEOMEAN(B91:C91))</f>
      </c>
      <c r="E91" s="6">
        <f>MAX(Parametri!$D$8, ABS(B91-C91)/(2*SQRT(3)))</f>
      </c>
      <c r="F91" s="6">
        <f>(A91-Parametri!$A$11)+Parametri!$A$2+(Parametri!$A$5/2)</f>
      </c>
      <c r="G91" s="6">
        <f>(D91-Parametri!$A$8)-(A91-Parametri!$A$11)+Parametri!$A$2</f>
      </c>
      <c r="H91" s="6">
        <f>E91</f>
      </c>
      <c r="I91" s="6">
        <f>Parametri!$D$8</f>
      </c>
      <c r="J91" s="2"/>
      <c r="K91" s="5">
        <f>C91-B91</f>
      </c>
      <c r="L91" s="2"/>
      <c r="M91" s="2"/>
      <c r="N91" s="2"/>
      <c r="O91" s="2"/>
      <c r="P91" s="2"/>
      <c r="Q91" s="2"/>
      <c r="R91" s="2"/>
      <c r="S91" s="2"/>
      <c r="T91" s="2"/>
      <c r="U91" s="3"/>
      <c r="V91" s="3"/>
    </row>
    <row x14ac:dyDescent="0.25" r="92" customHeight="1" ht="17.25">
      <c r="A92" s="4">
        <f>A91+10</f>
      </c>
      <c r="B92" s="5">
        <v>855</v>
      </c>
      <c r="C92" s="3"/>
      <c r="D92" s="5">
        <f>IF(C92=0, B92, GEOMEAN(B92:C92))</f>
      </c>
      <c r="E92" s="6">
        <f>MAX(Parametri!$D$8, ABS(B92-C92)/(2*SQRT(3)))</f>
      </c>
      <c r="F92" s="6">
        <f>(A92-Parametri!$A$11)+Parametri!$A$2+(Parametri!$A$5/2)</f>
      </c>
      <c r="G92" s="6">
        <f>(D92-Parametri!$A$8)-(A92-Parametri!$A$11)+Parametri!$A$2</f>
      </c>
      <c r="H92" s="6">
        <f>E92</f>
      </c>
      <c r="I92" s="6">
        <f>Parametri!$D$8</f>
      </c>
      <c r="J92" s="2"/>
      <c r="K92" s="5">
        <f>C92-B92</f>
      </c>
      <c r="L92" s="2"/>
      <c r="M92" s="2"/>
      <c r="N92" s="2"/>
      <c r="O92" s="2"/>
      <c r="P92" s="2"/>
      <c r="Q92" s="2"/>
      <c r="R92" s="2"/>
      <c r="S92" s="2"/>
      <c r="T92" s="2"/>
      <c r="U92" s="3"/>
      <c r="V92" s="3"/>
    </row>
    <row x14ac:dyDescent="0.25" r="93" customHeight="1" ht="17.25">
      <c r="A93" s="4">
        <f>A92+10</f>
      </c>
      <c r="B93" s="5">
        <v>860</v>
      </c>
      <c r="C93" s="3"/>
      <c r="D93" s="5">
        <f>IF(C93=0, B93, GEOMEAN(B93:C93))</f>
      </c>
      <c r="E93" s="6">
        <f>MAX(Parametri!$D$8, ABS(B93-C93)/(2*SQRT(3)))</f>
      </c>
      <c r="F93" s="6">
        <f>(A93-Parametri!$A$11)+Parametri!$A$2+(Parametri!$A$5/2)</f>
      </c>
      <c r="G93" s="6">
        <f>(D93-Parametri!$A$8)-(A93-Parametri!$A$11)+Parametri!$A$2</f>
      </c>
      <c r="H93" s="6">
        <f>E93</f>
      </c>
      <c r="I93" s="6">
        <f>Parametri!$D$8</f>
      </c>
      <c r="J93" s="2"/>
      <c r="K93" s="5">
        <f>C93-B93</f>
      </c>
      <c r="L93" s="2"/>
      <c r="M93" s="2"/>
      <c r="N93" s="2"/>
      <c r="O93" s="2"/>
      <c r="P93" s="2"/>
      <c r="Q93" s="2"/>
      <c r="R93" s="2"/>
      <c r="S93" s="2"/>
      <c r="T93" s="2"/>
      <c r="U93" s="3"/>
      <c r="V93" s="3"/>
    </row>
    <row x14ac:dyDescent="0.25" r="94" customHeight="1" ht="17.25">
      <c r="A94" s="4">
        <f>A93+10</f>
      </c>
      <c r="B94" s="5">
        <v>865</v>
      </c>
      <c r="C94" s="3"/>
      <c r="D94" s="5">
        <f>IF(C94=0, B94, GEOMEAN(B94:C94))</f>
      </c>
      <c r="E94" s="6">
        <f>MAX(Parametri!$D$8, ABS(B94-C94)/(2*SQRT(3)))</f>
      </c>
      <c r="F94" s="6">
        <f>(A94-Parametri!$A$11)+Parametri!$A$2+(Parametri!$A$5/2)</f>
      </c>
      <c r="G94" s="6">
        <f>(D94-Parametri!$A$8)-(A94-Parametri!$A$11)+Parametri!$A$2</f>
      </c>
      <c r="H94" s="6">
        <f>E94</f>
      </c>
      <c r="I94" s="6">
        <f>Parametri!$D$8</f>
      </c>
      <c r="J94" s="2"/>
      <c r="K94" s="5">
        <f>C94-B94</f>
      </c>
      <c r="L94" s="2"/>
      <c r="M94" s="2"/>
      <c r="N94" s="2"/>
      <c r="O94" s="2"/>
      <c r="P94" s="2"/>
      <c r="Q94" s="2"/>
      <c r="R94" s="2"/>
      <c r="S94" s="2"/>
      <c r="T94" s="2"/>
      <c r="U94" s="3"/>
      <c r="V94" s="3"/>
    </row>
    <row x14ac:dyDescent="0.25" r="95" customHeight="1" ht="17.25">
      <c r="A95" s="4">
        <f>A94+10</f>
      </c>
      <c r="B95" s="5">
        <v>870</v>
      </c>
      <c r="C95" s="3"/>
      <c r="D95" s="5">
        <f>IF(C95=0, B95, GEOMEAN(B95:C95))</f>
      </c>
      <c r="E95" s="6">
        <f>MAX(Parametri!$D$8, ABS(B95-C95)/(2*SQRT(3)))</f>
      </c>
      <c r="F95" s="6">
        <f>(A95-Parametri!$A$11)+Parametri!$A$2+(Parametri!$A$5/2)</f>
      </c>
      <c r="G95" s="6">
        <f>(D95-Parametri!$A$8)-(A95-Parametri!$A$11)+Parametri!$A$2</f>
      </c>
      <c r="H95" s="6">
        <f>E95</f>
      </c>
      <c r="I95" s="6">
        <f>Parametri!$D$8</f>
      </c>
      <c r="J95" s="2"/>
      <c r="K95" s="5">
        <f>C95-B95</f>
      </c>
      <c r="L95" s="2"/>
      <c r="M95" s="2"/>
      <c r="N95" s="2"/>
      <c r="O95" s="2"/>
      <c r="P95" s="2"/>
      <c r="Q95" s="2"/>
      <c r="R95" s="2"/>
      <c r="S95" s="2"/>
      <c r="T95" s="2"/>
      <c r="U95" s="3"/>
      <c r="V95" s="3"/>
    </row>
    <row x14ac:dyDescent="0.25" r="96" customHeight="1" ht="17.25">
      <c r="A96" s="4">
        <f>A95+10</f>
      </c>
      <c r="B96" s="5">
        <v>875</v>
      </c>
      <c r="C96" s="3"/>
      <c r="D96" s="5">
        <f>IF(C96=0, B96, GEOMEAN(B96:C96))</f>
      </c>
      <c r="E96" s="6">
        <f>MAX(Parametri!$D$8, ABS(B96-C96)/(2*SQRT(3)))</f>
      </c>
      <c r="F96" s="6">
        <f>(A96-Parametri!$A$11)+Parametri!$A$2+(Parametri!$A$5/2)</f>
      </c>
      <c r="G96" s="6">
        <f>(D96-Parametri!$A$8)-(A96-Parametri!$A$11)+Parametri!$A$2</f>
      </c>
      <c r="H96" s="6">
        <f>E96</f>
      </c>
      <c r="I96" s="6">
        <f>Parametri!$D$8</f>
      </c>
      <c r="J96" s="2"/>
      <c r="K96" s="5">
        <f>C96-B96</f>
      </c>
      <c r="L96" s="2"/>
      <c r="M96" s="2"/>
      <c r="N96" s="2"/>
      <c r="O96" s="2"/>
      <c r="P96" s="2"/>
      <c r="Q96" s="2"/>
      <c r="R96" s="2"/>
      <c r="S96" s="2"/>
      <c r="T96" s="2"/>
      <c r="U96" s="3"/>
      <c r="V96" s="3"/>
    </row>
    <row x14ac:dyDescent="0.25" r="97" customHeight="1" ht="17.25">
      <c r="A97" s="4">
        <f>A96+10</f>
      </c>
      <c r="B97" s="5">
        <v>885</v>
      </c>
      <c r="C97" s="3"/>
      <c r="D97" s="5">
        <f>IF(C97=0, B97, GEOMEAN(B97:C97))</f>
      </c>
      <c r="E97" s="6">
        <f>MAX(Parametri!$D$8, ABS(B97-C97)/(2*SQRT(3)))</f>
      </c>
      <c r="F97" s="6">
        <f>(A97-Parametri!$A$11)+Parametri!$A$2+(Parametri!$A$5/2)</f>
      </c>
      <c r="G97" s="6">
        <f>(D97-Parametri!$A$8)-(A97-Parametri!$A$11)+Parametri!$A$2</f>
      </c>
      <c r="H97" s="6">
        <f>E97</f>
      </c>
      <c r="I97" s="6">
        <f>Parametri!$D$8</f>
      </c>
      <c r="J97" s="2"/>
      <c r="K97" s="5">
        <f>C97-B97</f>
      </c>
      <c r="L97" s="2"/>
      <c r="M97" s="2"/>
      <c r="N97" s="2"/>
      <c r="O97" s="2"/>
      <c r="P97" s="2"/>
      <c r="Q97" s="2"/>
      <c r="R97" s="2"/>
      <c r="S97" s="2"/>
      <c r="T97" s="2"/>
      <c r="U97" s="3"/>
      <c r="V97" s="3"/>
    </row>
    <row x14ac:dyDescent="0.25" r="98" customHeight="1" ht="17.25">
      <c r="A98" s="4">
        <f>A97+10</f>
      </c>
      <c r="B98" s="5">
        <v>890</v>
      </c>
      <c r="C98" s="3"/>
      <c r="D98" s="5">
        <f>IF(C98=0, B98, GEOMEAN(B98:C98))</f>
      </c>
      <c r="E98" s="6">
        <f>MAX(Parametri!$D$8, ABS(B98-C98)/(2*SQRT(3)))</f>
      </c>
      <c r="F98" s="6">
        <f>(A98-Parametri!$A$11)+Parametri!$A$2+(Parametri!$A$5/2)</f>
      </c>
      <c r="G98" s="6">
        <f>(D98-Parametri!$A$8)-(A98-Parametri!$A$11)+Parametri!$A$2</f>
      </c>
      <c r="H98" s="6">
        <f>E98</f>
      </c>
      <c r="I98" s="6">
        <f>Parametri!$D$8</f>
      </c>
      <c r="J98" s="2"/>
      <c r="K98" s="5">
        <f>C98-B98</f>
      </c>
      <c r="L98" s="2"/>
      <c r="M98" s="2"/>
      <c r="N98" s="2"/>
      <c r="O98" s="2"/>
      <c r="P98" s="2"/>
      <c r="Q98" s="2"/>
      <c r="R98" s="2"/>
      <c r="S98" s="2"/>
      <c r="T98" s="2"/>
      <c r="U98" s="3"/>
      <c r="V98" s="3"/>
    </row>
    <row x14ac:dyDescent="0.25" r="99" customHeight="1" ht="17.25">
      <c r="A99" s="4">
        <f>A98+10</f>
      </c>
      <c r="B99" s="5">
        <v>897</v>
      </c>
      <c r="C99" s="3"/>
      <c r="D99" s="5">
        <f>IF(C99=0, B99, GEOMEAN(B99:C99))</f>
      </c>
      <c r="E99" s="6">
        <f>MAX(Parametri!$D$8, ABS(B99-C99)/(2*SQRT(3)))</f>
      </c>
      <c r="F99" s="6">
        <f>(A99-Parametri!$A$11)+Parametri!$A$2+(Parametri!$A$5/2)</f>
      </c>
      <c r="G99" s="6">
        <f>(D99-Parametri!$A$8)-(A99-Parametri!$A$11)+Parametri!$A$2</f>
      </c>
      <c r="H99" s="6">
        <f>E99</f>
      </c>
      <c r="I99" s="6">
        <f>Parametri!$D$8</f>
      </c>
      <c r="J99" s="2"/>
      <c r="K99" s="5">
        <f>C99-B99</f>
      </c>
      <c r="L99" s="2"/>
      <c r="M99" s="2"/>
      <c r="N99" s="2"/>
      <c r="O99" s="2"/>
      <c r="P99" s="2"/>
      <c r="Q99" s="2"/>
      <c r="R99" s="2"/>
      <c r="S99" s="2"/>
      <c r="T99" s="2"/>
      <c r="U99" s="3"/>
      <c r="V99" s="3"/>
    </row>
    <row x14ac:dyDescent="0.25" r="100" customHeight="1" ht="17.25">
      <c r="A100" s="4">
        <f>A99+10</f>
      </c>
      <c r="B100" s="5">
        <v>905</v>
      </c>
      <c r="C100" s="3"/>
      <c r="D100" s="5">
        <f>IF(C100=0, B100, GEOMEAN(B100:C100))</f>
      </c>
      <c r="E100" s="6">
        <f>MAX(Parametri!$D$8, ABS(B100-C100)/(2*SQRT(3)))</f>
      </c>
      <c r="F100" s="6">
        <f>(A100-Parametri!$A$11)+Parametri!$A$2+(Parametri!$A$5/2)</f>
      </c>
      <c r="G100" s="6">
        <f>(D100-Parametri!$A$8)-(A100-Parametri!$A$11)+Parametri!$A$2</f>
      </c>
      <c r="H100" s="6">
        <f>E100</f>
      </c>
      <c r="I100" s="6">
        <f>Parametri!$D$8</f>
      </c>
      <c r="J100" s="2"/>
      <c r="K100" s="5">
        <f>C100-B100</f>
      </c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3"/>
    </row>
    <row x14ac:dyDescent="0.25" r="101" customHeight="1" ht="17.25">
      <c r="A101" s="4">
        <f>A100+10</f>
      </c>
      <c r="B101" s="5">
        <v>910</v>
      </c>
      <c r="C101" s="3"/>
      <c r="D101" s="5">
        <f>IF(C101=0, B101, GEOMEAN(B101:C101))</f>
      </c>
      <c r="E101" s="6">
        <f>MAX(Parametri!$D$8, ABS(B101-C101)/(2*SQRT(3)))</f>
      </c>
      <c r="F101" s="6">
        <f>(A101-Parametri!$A$11)+Parametri!$A$2+(Parametri!$A$5/2)</f>
      </c>
      <c r="G101" s="6">
        <f>(D101-Parametri!$A$8)-(A101-Parametri!$A$11)+Parametri!$A$2</f>
      </c>
      <c r="H101" s="6">
        <f>E101</f>
      </c>
      <c r="I101" s="6">
        <f>Parametri!$D$8</f>
      </c>
      <c r="J101" s="2"/>
      <c r="K101" s="5">
        <f>C101-B101</f>
      </c>
      <c r="L101" s="2"/>
      <c r="M101" s="2"/>
      <c r="N101" s="2"/>
      <c r="O101" s="2"/>
      <c r="P101" s="2"/>
      <c r="Q101" s="2"/>
      <c r="R101" s="2"/>
      <c r="S101" s="2"/>
      <c r="T101" s="2"/>
      <c r="U101" s="3"/>
      <c r="V101" s="3"/>
    </row>
    <row x14ac:dyDescent="0.25" r="102" customHeight="1" ht="17.25">
      <c r="A102" s="4">
        <f>A101+20</f>
      </c>
      <c r="B102" s="5">
        <v>925</v>
      </c>
      <c r="C102" s="3"/>
      <c r="D102" s="5">
        <f>IF(C102=0, B102, GEOMEAN(B102:C102))</f>
      </c>
      <c r="E102" s="6">
        <f>MAX(Parametri!$D$8, ABS(B102-C102)/(2*SQRT(3)))</f>
      </c>
      <c r="F102" s="6">
        <f>(A102-Parametri!$A$11)+Parametri!$A$2+(Parametri!$A$5/2)</f>
      </c>
      <c r="G102" s="6">
        <f>(D102-Parametri!$A$8)-(A102-Parametri!$A$11)+Parametri!$A$2</f>
      </c>
      <c r="H102" s="6">
        <f>E102</f>
      </c>
      <c r="I102" s="6">
        <f>Parametri!$D$8</f>
      </c>
      <c r="J102" s="2"/>
      <c r="K102" s="5">
        <f>C102-B102</f>
      </c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3"/>
    </row>
    <row x14ac:dyDescent="0.25" r="103" customHeight="1" ht="17.25">
      <c r="A103" s="4">
        <f>A102+20</f>
      </c>
      <c r="B103" s="5">
        <v>939</v>
      </c>
      <c r="C103" s="3"/>
      <c r="D103" s="5">
        <f>IF(C103=0, B103, GEOMEAN(B103:C103))</f>
      </c>
      <c r="E103" s="6">
        <f>MAX(Parametri!$D$8, ABS(B103-C103)/(2*SQRT(3)))</f>
      </c>
      <c r="F103" s="6">
        <f>(A103-Parametri!$A$11)+Parametri!$A$2+(Parametri!$A$5/2)</f>
      </c>
      <c r="G103" s="6">
        <f>(D103-Parametri!$A$8)-(A103-Parametri!$A$11)+Parametri!$A$2</f>
      </c>
      <c r="H103" s="6">
        <f>E103</f>
      </c>
      <c r="I103" s="6">
        <f>Parametri!$D$8</f>
      </c>
      <c r="J103" s="2"/>
      <c r="K103" s="5">
        <f>C103-B103</f>
      </c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3"/>
    </row>
    <row x14ac:dyDescent="0.25" r="104" customHeight="1" ht="17.25">
      <c r="A104" s="4">
        <f>A103+20</f>
      </c>
      <c r="B104" s="5">
        <v>958</v>
      </c>
      <c r="C104" s="3"/>
      <c r="D104" s="5">
        <f>IF(C104=0, B104, GEOMEAN(B104:C104))</f>
      </c>
      <c r="E104" s="6">
        <f>MAX(Parametri!$D$8, ABS(B104-C104)/(2*SQRT(3)))</f>
      </c>
      <c r="F104" s="6">
        <f>(A104-Parametri!$A$11)+Parametri!$A$2+(Parametri!$A$5/2)</f>
      </c>
      <c r="G104" s="6">
        <f>(D104-Parametri!$A$8)-(A104-Parametri!$A$11)+Parametri!$A$2</f>
      </c>
      <c r="H104" s="6">
        <f>E104</f>
      </c>
      <c r="I104" s="6">
        <f>Parametri!$D$8</f>
      </c>
      <c r="J104" s="2"/>
      <c r="K104" s="5">
        <f>C104-B104</f>
      </c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3"/>
    </row>
    <row x14ac:dyDescent="0.25" r="105" customHeight="1" ht="17.25">
      <c r="A105" s="4">
        <f>A104+20</f>
      </c>
      <c r="B105" s="5">
        <v>972</v>
      </c>
      <c r="C105" s="3"/>
      <c r="D105" s="5">
        <f>IF(C105=0, B105, GEOMEAN(B105:C105))</f>
      </c>
      <c r="E105" s="6">
        <f>MAX(Parametri!$D$8, ABS(B105-C105)/(2*SQRT(3)))</f>
      </c>
      <c r="F105" s="6">
        <f>(A105-Parametri!$A$11)+Parametri!$A$2+(Parametri!$A$5/2)</f>
      </c>
      <c r="G105" s="6">
        <f>(D105-Parametri!$A$8)-(A105-Parametri!$A$11)+Parametri!$A$2</f>
      </c>
      <c r="H105" s="6">
        <f>E105</f>
      </c>
      <c r="I105" s="6">
        <f>Parametri!$D$8</f>
      </c>
      <c r="J105" s="2"/>
      <c r="K105" s="5">
        <f>C105-B105</f>
      </c>
      <c r="L105" s="2"/>
      <c r="M105" s="2"/>
      <c r="N105" s="2"/>
      <c r="O105" s="2"/>
      <c r="P105" s="2"/>
      <c r="Q105" s="2"/>
      <c r="R105" s="2"/>
      <c r="S105" s="2"/>
      <c r="T105" s="2"/>
      <c r="U105" s="3"/>
      <c r="V105" s="3"/>
    </row>
    <row x14ac:dyDescent="0.25" r="106" customHeight="1" ht="17.25">
      <c r="A106" s="4">
        <f>A105+20</f>
      </c>
      <c r="B106" s="5">
        <v>990</v>
      </c>
      <c r="C106" s="3"/>
      <c r="D106" s="5">
        <f>IF(C106=0, B106, GEOMEAN(B106:C106))</f>
      </c>
      <c r="E106" s="6">
        <f>MAX(Parametri!$D$8, ABS(B106-C106)/(2*SQRT(3)))</f>
      </c>
      <c r="F106" s="6">
        <f>(A106-Parametri!$A$11)+Parametri!$A$2+(Parametri!$A$5/2)</f>
      </c>
      <c r="G106" s="6">
        <f>(D106-Parametri!$A$8)-(A106-Parametri!$A$11)+Parametri!$A$2</f>
      </c>
      <c r="H106" s="6">
        <f>E106</f>
      </c>
      <c r="I106" s="6">
        <f>Parametri!$D$8</f>
      </c>
      <c r="J106" s="2"/>
      <c r="K106" s="5">
        <f>C106-B106</f>
      </c>
      <c r="L106" s="2"/>
      <c r="M106" s="2"/>
      <c r="N106" s="2"/>
      <c r="O106" s="2"/>
      <c r="P106" s="2"/>
      <c r="Q106" s="2"/>
      <c r="R106" s="2"/>
      <c r="S106" s="2"/>
      <c r="T106" s="2"/>
      <c r="U106" s="3"/>
      <c r="V106" s="3"/>
    </row>
    <row x14ac:dyDescent="0.25" r="107" customHeight="1" ht="17.25">
      <c r="A107" s="4">
        <f>A106+50</f>
      </c>
      <c r="B107" s="5">
        <v>1030</v>
      </c>
      <c r="C107" s="3"/>
      <c r="D107" s="5">
        <f>IF(C107=0, B107, GEOMEAN(B107:C107))</f>
      </c>
      <c r="E107" s="6">
        <f>MAX(Parametri!$D$8, ABS(B107-C107)/(2*SQRT(3)))</f>
      </c>
      <c r="F107" s="6">
        <f>(A107-Parametri!$A$11)+Parametri!$A$2+(Parametri!$A$5/2)</f>
      </c>
      <c r="G107" s="6">
        <f>(D107-Parametri!$A$8)-(A107-Parametri!$A$11)+Parametri!$A$2</f>
      </c>
      <c r="H107" s="6">
        <f>E107</f>
      </c>
      <c r="I107" s="6">
        <f>Parametri!$D$8</f>
      </c>
      <c r="J107" s="2"/>
      <c r="K107" s="5">
        <f>C107-B107</f>
      </c>
      <c r="L107" s="2"/>
      <c r="M107" s="2"/>
      <c r="N107" s="2"/>
      <c r="O107" s="2"/>
      <c r="P107" s="2"/>
      <c r="Q107" s="2"/>
      <c r="R107" s="2"/>
      <c r="S107" s="2"/>
      <c r="T107" s="2"/>
      <c r="U107" s="3"/>
      <c r="V107" s="3"/>
    </row>
    <row x14ac:dyDescent="0.25" r="108" customHeight="1" ht="17.25">
      <c r="A108" s="4">
        <f>A107+50</f>
      </c>
      <c r="B108" s="5">
        <v>1073</v>
      </c>
      <c r="C108" s="3"/>
      <c r="D108" s="5">
        <f>IF(C108=0, B108, GEOMEAN(B108:C108))</f>
      </c>
      <c r="E108" s="6">
        <f>MAX(Parametri!$D$8, ABS(B108-C108)/(2*SQRT(3)))</f>
      </c>
      <c r="F108" s="6">
        <f>(A108-Parametri!$A$11)+Parametri!$A$2+(Parametri!$A$5/2)</f>
      </c>
      <c r="G108" s="6">
        <f>(D108-Parametri!$A$8)-(A108-Parametri!$A$11)+Parametri!$A$2</f>
      </c>
      <c r="H108" s="6">
        <f>E108</f>
      </c>
      <c r="I108" s="6">
        <f>Parametri!$D$8</f>
      </c>
      <c r="J108" s="2"/>
      <c r="K108" s="5">
        <f>C108-B108</f>
      </c>
      <c r="L108" s="2"/>
      <c r="M108" s="2"/>
      <c r="N108" s="2"/>
      <c r="O108" s="2"/>
      <c r="P108" s="2"/>
      <c r="Q108" s="2"/>
      <c r="R108" s="2"/>
      <c r="S108" s="2"/>
      <c r="T108" s="2"/>
      <c r="U108" s="3"/>
      <c r="V108" s="3"/>
    </row>
    <row x14ac:dyDescent="0.25" r="109" customHeight="1" ht="17.25">
      <c r="A109" s="4">
        <f>A108+50</f>
      </c>
      <c r="B109" s="5">
        <v>1118</v>
      </c>
      <c r="C109" s="3"/>
      <c r="D109" s="5">
        <f>IF(C109=0, B109, GEOMEAN(B109:C109))</f>
      </c>
      <c r="E109" s="6">
        <f>MAX(Parametri!$D$8, ABS(B109-C109)/(2*SQRT(3)))</f>
      </c>
      <c r="F109" s="6">
        <f>(A109-Parametri!$A$11)+Parametri!$A$2+(Parametri!$A$5/2)</f>
      </c>
      <c r="G109" s="6">
        <f>(D109-Parametri!$A$8)-(A109-Parametri!$A$11)+Parametri!$A$2</f>
      </c>
      <c r="H109" s="6">
        <f>E109</f>
      </c>
      <c r="I109" s="6">
        <f>Parametri!$D$8</f>
      </c>
      <c r="J109" s="2"/>
      <c r="K109" s="5">
        <f>C109-B109</f>
      </c>
      <c r="L109" s="2"/>
      <c r="M109" s="2"/>
      <c r="N109" s="2"/>
      <c r="O109" s="2"/>
      <c r="P109" s="2"/>
      <c r="Q109" s="2"/>
      <c r="R109" s="2"/>
      <c r="S109" s="2"/>
      <c r="T109" s="2"/>
      <c r="U109" s="3"/>
      <c r="V109" s="3"/>
    </row>
    <row x14ac:dyDescent="0.25" r="110" customHeight="1" ht="17.25">
      <c r="A110" s="4">
        <f>A109+50</f>
      </c>
      <c r="B110" s="5">
        <v>1164</v>
      </c>
      <c r="C110" s="3"/>
      <c r="D110" s="5">
        <f>IF(C110=0, B110, GEOMEAN(B110:C110))</f>
      </c>
      <c r="E110" s="6">
        <f>MAX(Parametri!$D$8, ABS(B110-C110)/(2*SQRT(3)))</f>
      </c>
      <c r="F110" s="6">
        <f>(A110-Parametri!$A$11)+Parametri!$A$2+(Parametri!$A$5/2)</f>
      </c>
      <c r="G110" s="6">
        <f>(D110-Parametri!$A$8)-(A110-Parametri!$A$11)+Parametri!$A$2</f>
      </c>
      <c r="H110" s="6">
        <f>E110</f>
      </c>
      <c r="I110" s="6">
        <f>Parametri!$D$8</f>
      </c>
      <c r="J110" s="2"/>
      <c r="K110" s="5">
        <f>C110-B110</f>
      </c>
      <c r="L110" s="2"/>
      <c r="M110" s="2"/>
      <c r="N110" s="2"/>
      <c r="O110" s="2"/>
      <c r="P110" s="2"/>
      <c r="Q110" s="2"/>
      <c r="R110" s="2"/>
      <c r="S110" s="2"/>
      <c r="T110" s="2"/>
      <c r="U110" s="3"/>
      <c r="V110" s="3"/>
    </row>
    <row x14ac:dyDescent="0.25" r="111" customHeight="1" ht="17.25">
      <c r="A111" s="4">
        <f>A110+100</f>
      </c>
      <c r="B111" s="5">
        <v>1255</v>
      </c>
      <c r="C111" s="3"/>
      <c r="D111" s="5">
        <f>IF(C111=0, B111, GEOMEAN(B111:C111))</f>
      </c>
      <c r="E111" s="6">
        <f>MAX(Parametri!$D$8, ABS(B111-C111)/(2*SQRT(3)))</f>
      </c>
      <c r="F111" s="6">
        <f>(A111-Parametri!$A$11)+Parametri!$A$2+(Parametri!$A$5/2)</f>
      </c>
      <c r="G111" s="6">
        <f>(D111-Parametri!$A$8)-(A111-Parametri!$A$11)+Parametri!$A$2</f>
      </c>
      <c r="H111" s="6">
        <f>E111</f>
      </c>
      <c r="I111" s="6">
        <f>Parametri!$D$8</f>
      </c>
      <c r="J111" s="2"/>
      <c r="K111" s="5">
        <f>C111-B111</f>
      </c>
      <c r="L111" s="2"/>
      <c r="M111" s="2"/>
      <c r="N111" s="2"/>
      <c r="O111" s="2"/>
      <c r="P111" s="2"/>
      <c r="Q111" s="2"/>
      <c r="R111" s="2"/>
      <c r="S111" s="2"/>
      <c r="T111" s="2"/>
      <c r="U111" s="3"/>
      <c r="V111" s="3"/>
    </row>
    <row x14ac:dyDescent="0.25" r="112" customHeight="1" ht="17.25">
      <c r="A112" s="4">
        <f>A111+100</f>
      </c>
      <c r="B112" s="5">
        <v>1349</v>
      </c>
      <c r="C112" s="3"/>
      <c r="D112" s="5">
        <f>IF(C112=0, B112, GEOMEAN(B112:C112))</f>
      </c>
      <c r="E112" s="6">
        <f>MAX(Parametri!$D$8, ABS(B112-C112)/(2*SQRT(3)))</f>
      </c>
      <c r="F112" s="6">
        <f>(A112-Parametri!$A$11)+Parametri!$A$2+(Parametri!$A$5/2)</f>
      </c>
      <c r="G112" s="6">
        <f>(D112-Parametri!$A$8)-(A112-Parametri!$A$11)+Parametri!$A$2</f>
      </c>
      <c r="H112" s="6">
        <f>E112</f>
      </c>
      <c r="I112" s="6">
        <f>Parametri!$D$8</f>
      </c>
      <c r="J112" s="2"/>
      <c r="K112" s="5">
        <f>C112-B112</f>
      </c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3"/>
    </row>
    <row x14ac:dyDescent="0.25" r="113" customHeight="1" ht="17.25">
      <c r="A113" s="4">
        <f>A112+100</f>
      </c>
      <c r="B113" s="5">
        <v>1445</v>
      </c>
      <c r="C113" s="3"/>
      <c r="D113" s="5">
        <f>IF(C113=0, B113, GEOMEAN(B113:C113))</f>
      </c>
      <c r="E113" s="6">
        <f>MAX(Parametri!$D$8, ABS(B113-C113)/(2*SQRT(3)))</f>
      </c>
      <c r="F113" s="6">
        <f>(A113-Parametri!$A$11)+Parametri!$A$2+(Parametri!$A$5/2)</f>
      </c>
      <c r="G113" s="6">
        <f>(D113-Parametri!$A$8)-(A113-Parametri!$A$11)+Parametri!$A$2</f>
      </c>
      <c r="H113" s="6">
        <f>E113</f>
      </c>
      <c r="I113" s="6">
        <f>Parametri!$D$8</f>
      </c>
      <c r="J113" s="2"/>
      <c r="K113" s="5">
        <f>C113-B113</f>
      </c>
      <c r="L113" s="2"/>
      <c r="M113" s="2"/>
      <c r="N113" s="2"/>
      <c r="O113" s="2"/>
      <c r="P113" s="2"/>
      <c r="Q113" s="2"/>
      <c r="R113" s="2"/>
      <c r="S113" s="2"/>
      <c r="T113" s="2"/>
      <c r="U113" s="3"/>
      <c r="V113" s="3"/>
    </row>
    <row x14ac:dyDescent="0.25" r="114" customHeight="1" ht="17.25">
      <c r="A114" s="4">
        <f>A113+100</f>
      </c>
      <c r="B114" s="5">
        <v>1542</v>
      </c>
      <c r="C114" s="3"/>
      <c r="D114" s="5">
        <f>IF(C114=0, B114, GEOMEAN(B114:C114))</f>
      </c>
      <c r="E114" s="6">
        <f>MAX(Parametri!$D$8, ABS(B114-C114)/(2*SQRT(3)))</f>
      </c>
      <c r="F114" s="6">
        <f>(A114-Parametri!$A$11)+Parametri!$A$2+(Parametri!$A$5/2)</f>
      </c>
      <c r="G114" s="6">
        <f>(D114-Parametri!$A$8)-(A114-Parametri!$A$11)+Parametri!$A$2</f>
      </c>
      <c r="H114" s="6">
        <f>E114</f>
      </c>
      <c r="I114" s="6">
        <f>Parametri!$D$8</f>
      </c>
      <c r="J114" s="2"/>
      <c r="K114" s="5">
        <f>C114-B114</f>
      </c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3"/>
    </row>
    <row x14ac:dyDescent="0.25" r="115" customHeight="1" ht="17.25">
      <c r="A115" s="4">
        <f>A114+100</f>
      </c>
      <c r="B115" s="5">
        <v>1638</v>
      </c>
      <c r="C115" s="3"/>
      <c r="D115" s="5">
        <f>IF(C115=0, B115, GEOMEAN(B115:C115))</f>
      </c>
      <c r="E115" s="6">
        <f>MAX(Parametri!$D$8, ABS(B115-C115)/(2*SQRT(3)))</f>
      </c>
      <c r="F115" s="6">
        <f>(A115-Parametri!$A$11)+Parametri!$A$2+(Parametri!$A$5/2)</f>
      </c>
      <c r="G115" s="6">
        <f>(D115-Parametri!$A$8)-(A115-Parametri!$A$11)+Parametri!$A$2</f>
      </c>
      <c r="H115" s="6">
        <f>E115</f>
      </c>
      <c r="I115" s="6">
        <f>Parametri!$D$8</f>
      </c>
      <c r="J115" s="2"/>
      <c r="K115" s="5">
        <f>C115-B115</f>
      </c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3"/>
    </row>
    <row x14ac:dyDescent="0.25" r="116" customHeight="1" ht="17.25">
      <c r="A116" s="4">
        <f>A115+100</f>
      </c>
      <c r="B116" s="5">
        <v>1736</v>
      </c>
      <c r="C116" s="3"/>
      <c r="D116" s="5">
        <f>IF(C116=0, B116, GEOMEAN(B116:C116))</f>
      </c>
      <c r="E116" s="6">
        <f>MAX(Parametri!$D$8, ABS(B116-C116)/(2*SQRT(3)))</f>
      </c>
      <c r="F116" s="6">
        <f>(A116-Parametri!$A$11)+Parametri!$A$2+(Parametri!$A$5/2)</f>
      </c>
      <c r="G116" s="6">
        <f>(D116-Parametri!$A$8)-(A116-Parametri!$A$11)+Parametri!$A$2</f>
      </c>
      <c r="H116" s="6">
        <f>E116</f>
      </c>
      <c r="I116" s="6">
        <f>Parametri!$D$8</f>
      </c>
      <c r="J116" s="2"/>
      <c r="K116" s="5">
        <f>C116-B116</f>
      </c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3"/>
    </row>
    <row x14ac:dyDescent="0.25" r="117" customHeight="1" ht="17.25">
      <c r="A117" s="4">
        <v>1650</v>
      </c>
      <c r="B117" s="5">
        <v>1882</v>
      </c>
      <c r="C117" s="3"/>
      <c r="D117" s="5">
        <f>IF(C117=0, B117, GEOMEAN(B117:C117))</f>
      </c>
      <c r="E117" s="6">
        <f>MAX(Parametri!$D$8, ABS(B117-C117)/(2*SQRT(3)))</f>
      </c>
      <c r="F117" s="6">
        <f>(A117-Parametri!$A$11)+Parametri!$A$2+(Parametri!$A$5/2)</f>
      </c>
      <c r="G117" s="6">
        <f>(D117-Parametri!$A$8)-(A117-Parametri!$A$11)+Parametri!$A$2</f>
      </c>
      <c r="H117" s="6">
        <f>E117</f>
      </c>
      <c r="I117" s="6">
        <f>Parametri!$D$8</f>
      </c>
      <c r="J117" s="2"/>
      <c r="K117" s="5">
        <f>C117-B117</f>
      </c>
      <c r="L117" s="2"/>
      <c r="M117" s="2"/>
      <c r="N117" s="2"/>
      <c r="O117" s="2"/>
      <c r="P117" s="2"/>
      <c r="Q117" s="2"/>
      <c r="R117" s="2"/>
      <c r="S117" s="2"/>
      <c r="T117" s="2"/>
      <c r="U117" s="3"/>
      <c r="V1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7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2" width="12.43357142857143" customWidth="1" bestFit="1"/>
    <col min="3" max="3" style="9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2.43357142857143" customWidth="1" bestFit="1"/>
    <col min="7" max="7" style="12" width="12.43357142857143" customWidth="1" bestFit="1"/>
    <col min="8" max="8" style="13" width="12.43357142857143" customWidth="1" bestFit="1"/>
    <col min="9" max="9" style="13" width="12.43357142857143" customWidth="1" bestFit="1"/>
    <col min="10" max="10" style="13" width="12.43357142857143" customWidth="1" bestFit="1"/>
    <col min="11" max="11" style="12" width="12.43357142857143" customWidth="1" bestFit="1"/>
    <col min="12" max="12" style="13" width="12.43357142857143" customWidth="1" bestFit="1"/>
    <col min="13" max="13" style="12" width="12.43357142857143" customWidth="1" bestFit="1"/>
  </cols>
  <sheetData>
    <row x14ac:dyDescent="0.25" r="1" customHeight="1" ht="17.25">
      <c r="A1" s="10" t="s">
        <v>0</v>
      </c>
      <c r="B1" s="10" t="s">
        <v>1</v>
      </c>
      <c r="C1" s="3" t="s">
        <v>2</v>
      </c>
      <c r="D1" s="10" t="s">
        <v>4</v>
      </c>
      <c r="E1" s="11" t="s">
        <v>5</v>
      </c>
      <c r="F1" s="11" t="s">
        <v>6</v>
      </c>
      <c r="G1" s="10" t="s">
        <v>7</v>
      </c>
      <c r="H1" s="11" t="s">
        <v>8</v>
      </c>
      <c r="I1" s="11" t="s">
        <v>9</v>
      </c>
      <c r="J1" s="11" t="s">
        <v>10</v>
      </c>
      <c r="K1" s="10" t="s">
        <v>11</v>
      </c>
      <c r="L1" s="11" t="s">
        <v>10</v>
      </c>
      <c r="M1" s="10" t="s">
        <v>11</v>
      </c>
    </row>
    <row x14ac:dyDescent="0.25" r="2" customHeight="1" ht="17.25">
      <c r="A2" s="5">
        <v>251</v>
      </c>
      <c r="B2" s="5">
        <v>1802</v>
      </c>
      <c r="C2" s="5">
        <v>1841</v>
      </c>
      <c r="D2" s="6">
        <v>1821.3956187495346</v>
      </c>
      <c r="E2" s="6">
        <v>11.258330249197703</v>
      </c>
      <c r="F2" s="6">
        <v>232.5</v>
      </c>
      <c r="G2" s="6">
        <v>1568.3956187495346</v>
      </c>
      <c r="H2" s="6">
        <v>11.258330249197703</v>
      </c>
      <c r="I2" s="6">
        <v>0.11547005383792516</v>
      </c>
      <c r="J2" s="6">
        <v>232.5</v>
      </c>
      <c r="K2" s="6">
        <v>1568.3956187495346</v>
      </c>
      <c r="L2" s="6">
        <v>232.5</v>
      </c>
      <c r="M2" s="6">
        <v>1568.3956187495346</v>
      </c>
    </row>
    <row x14ac:dyDescent="0.25" r="3" customHeight="1" ht="17.25">
      <c r="A3" s="5">
        <v>252</v>
      </c>
      <c r="B3" s="5">
        <v>1719</v>
      </c>
      <c r="C3" s="5">
        <v>1836</v>
      </c>
      <c r="D3" s="6">
        <v>1776.537080952717</v>
      </c>
      <c r="E3" s="6">
        <v>33.77499074759311</v>
      </c>
      <c r="F3" s="6">
        <v>233.5</v>
      </c>
      <c r="G3" s="6">
        <v>1522.537080952717</v>
      </c>
      <c r="H3" s="6">
        <v>33.77499074759311</v>
      </c>
      <c r="I3" s="6">
        <v>0.11547005383792516</v>
      </c>
      <c r="J3" s="6">
        <v>233.5</v>
      </c>
      <c r="K3" s="6">
        <v>1522.537080952717</v>
      </c>
      <c r="L3" s="6">
        <v>233.5</v>
      </c>
      <c r="M3" s="6">
        <v>1522.537080952717</v>
      </c>
    </row>
    <row x14ac:dyDescent="0.25" r="4" customHeight="1" ht="17.25">
      <c r="A4" s="5">
        <v>253</v>
      </c>
      <c r="B4" s="5">
        <v>1690</v>
      </c>
      <c r="C4" s="5">
        <v>1853</v>
      </c>
      <c r="D4" s="6">
        <v>1769.6242539025059</v>
      </c>
      <c r="E4" s="6">
        <v>47.0540469389545</v>
      </c>
      <c r="F4" s="6">
        <v>234.5</v>
      </c>
      <c r="G4" s="6">
        <v>1514.6242539025059</v>
      </c>
      <c r="H4" s="6">
        <v>47.0540469389545</v>
      </c>
      <c r="I4" s="6">
        <v>0.11547005383792516</v>
      </c>
      <c r="J4" s="6">
        <v>234.5</v>
      </c>
      <c r="K4" s="6">
        <v>1514.6242539025059</v>
      </c>
      <c r="L4" s="6">
        <v>234.5</v>
      </c>
      <c r="M4" s="6">
        <v>1514.6242539025059</v>
      </c>
    </row>
    <row x14ac:dyDescent="0.25" r="5" customHeight="1" ht="17.25">
      <c r="A5" s="5">
        <v>254</v>
      </c>
      <c r="B5" s="5">
        <v>1630</v>
      </c>
      <c r="C5" s="5">
        <v>1782</v>
      </c>
      <c r="D5" s="6">
        <v>1704.3063104970304</v>
      </c>
      <c r="E5" s="6">
        <v>43.87862045841156</v>
      </c>
      <c r="F5" s="6">
        <v>235.5</v>
      </c>
      <c r="G5" s="6">
        <v>1448.3063104970304</v>
      </c>
      <c r="H5" s="6">
        <v>43.87862045841156</v>
      </c>
      <c r="I5" s="6">
        <v>0.11547005383792516</v>
      </c>
      <c r="J5" s="6">
        <v>235.5</v>
      </c>
      <c r="K5" s="6">
        <v>1448.3063104970304</v>
      </c>
      <c r="L5" s="6">
        <v>235.5</v>
      </c>
      <c r="M5" s="6">
        <v>1448.3063104970304</v>
      </c>
    </row>
    <row x14ac:dyDescent="0.25" r="6" customHeight="1" ht="17.25">
      <c r="A6" s="5">
        <v>255</v>
      </c>
      <c r="B6" s="5">
        <v>1605</v>
      </c>
      <c r="C6" s="5">
        <v>1745</v>
      </c>
      <c r="D6" s="6">
        <v>1673.5366742321485</v>
      </c>
      <c r="E6" s="6">
        <v>40.414518843273804</v>
      </c>
      <c r="F6" s="6">
        <v>236.5</v>
      </c>
      <c r="G6" s="6">
        <v>1416.5366742321485</v>
      </c>
      <c r="H6" s="6">
        <v>40.414518843273804</v>
      </c>
      <c r="I6" s="6">
        <v>0.11547005383792516</v>
      </c>
      <c r="J6" s="6">
        <v>236.5</v>
      </c>
      <c r="K6" s="6">
        <v>1416.5366742321485</v>
      </c>
      <c r="L6" s="6">
        <v>236.5</v>
      </c>
      <c r="M6" s="6">
        <v>1416.5366742321485</v>
      </c>
    </row>
    <row x14ac:dyDescent="0.25" r="7" customHeight="1" ht="17.25">
      <c r="A7" s="5">
        <v>256</v>
      </c>
      <c r="B7" s="5">
        <v>1574</v>
      </c>
      <c r="C7" s="5">
        <v>1710</v>
      </c>
      <c r="D7" s="6">
        <v>1640.5913567979078</v>
      </c>
      <c r="E7" s="6">
        <v>39.25981830489455</v>
      </c>
      <c r="F7" s="6">
        <v>237.5</v>
      </c>
      <c r="G7" s="6">
        <v>1382.5913567979078</v>
      </c>
      <c r="H7" s="6">
        <v>39.25981830489455</v>
      </c>
      <c r="I7" s="6">
        <v>0.11547005383792516</v>
      </c>
      <c r="J7" s="6">
        <v>237.5</v>
      </c>
      <c r="K7" s="6">
        <v>1382.5913567979078</v>
      </c>
      <c r="L7" s="6">
        <v>237.5</v>
      </c>
      <c r="M7" s="6">
        <v>1382.5913567979078</v>
      </c>
    </row>
    <row x14ac:dyDescent="0.25" r="8" customHeight="1" ht="17.25">
      <c r="A8" s="5">
        <v>257</v>
      </c>
      <c r="B8" s="5">
        <v>1546</v>
      </c>
      <c r="C8" s="5">
        <v>1679</v>
      </c>
      <c r="D8" s="6">
        <v>1611.1281761548335</v>
      </c>
      <c r="E8" s="6">
        <v>38.39379290111012</v>
      </c>
      <c r="F8" s="6">
        <v>238.5</v>
      </c>
      <c r="G8" s="6">
        <v>1352.1281761548335</v>
      </c>
      <c r="H8" s="6">
        <v>38.39379290111012</v>
      </c>
      <c r="I8" s="6">
        <v>0.11547005383792516</v>
      </c>
      <c r="J8" s="6">
        <v>238.5</v>
      </c>
      <c r="K8" s="6">
        <v>1352.1281761548335</v>
      </c>
      <c r="L8" s="6">
        <v>238.5</v>
      </c>
      <c r="M8" s="6">
        <v>1352.1281761548335</v>
      </c>
    </row>
    <row x14ac:dyDescent="0.25" r="9" customHeight="1" ht="17.25">
      <c r="A9" s="5">
        <v>258</v>
      </c>
      <c r="B9" s="5">
        <v>1525</v>
      </c>
      <c r="C9" s="5">
        <v>1629</v>
      </c>
      <c r="D9" s="6">
        <v>1576.1424428014113</v>
      </c>
      <c r="E9" s="6">
        <v>30.02221399786054</v>
      </c>
      <c r="F9" s="6">
        <v>239.5</v>
      </c>
      <c r="G9" s="6">
        <v>1316.1424428014113</v>
      </c>
      <c r="H9" s="6">
        <v>30.02221399786054</v>
      </c>
      <c r="I9" s="6">
        <v>0.11547005383792516</v>
      </c>
      <c r="J9" s="6">
        <v>239.5</v>
      </c>
      <c r="K9" s="6">
        <v>1316.1424428014113</v>
      </c>
      <c r="L9" s="6">
        <v>239.5</v>
      </c>
      <c r="M9" s="6">
        <v>1316.1424428014113</v>
      </c>
    </row>
    <row x14ac:dyDescent="0.25" r="10" customHeight="1" ht="17.25">
      <c r="A10" s="5">
        <v>259</v>
      </c>
      <c r="B10" s="5">
        <v>1505</v>
      </c>
      <c r="C10" s="5">
        <v>1603</v>
      </c>
      <c r="D10" s="6">
        <v>1553.227285364251</v>
      </c>
      <c r="E10" s="6">
        <v>28.290163190291665</v>
      </c>
      <c r="F10" s="6">
        <v>240.5</v>
      </c>
      <c r="G10" s="6">
        <v>1292.227285364251</v>
      </c>
      <c r="H10" s="6">
        <v>28.290163190291665</v>
      </c>
      <c r="I10" s="6">
        <v>0.11547005383792516</v>
      </c>
      <c r="J10" s="6">
        <v>240.5</v>
      </c>
      <c r="K10" s="6">
        <v>1292.227285364251</v>
      </c>
      <c r="L10" s="6">
        <v>240.5</v>
      </c>
      <c r="M10" s="6">
        <v>1292.227285364251</v>
      </c>
    </row>
    <row x14ac:dyDescent="0.25" r="11" customHeight="1" ht="17.25">
      <c r="A11" s="5">
        <v>260</v>
      </c>
      <c r="B11" s="5">
        <v>1467</v>
      </c>
      <c r="C11" s="5">
        <v>1572</v>
      </c>
      <c r="D11" s="6">
        <v>1518.5927696390497</v>
      </c>
      <c r="E11" s="6">
        <v>30.310889132455355</v>
      </c>
      <c r="F11" s="6">
        <v>241.5</v>
      </c>
      <c r="G11" s="6">
        <v>1256.5927696390497</v>
      </c>
      <c r="H11" s="6">
        <v>30.310889132455355</v>
      </c>
      <c r="I11" s="6">
        <v>0.11547005383792516</v>
      </c>
      <c r="J11" s="6">
        <v>241.5</v>
      </c>
      <c r="K11" s="6">
        <v>1256.5927696390497</v>
      </c>
      <c r="L11" s="6">
        <v>241.5</v>
      </c>
      <c r="M11" s="6">
        <v>1256.5927696390497</v>
      </c>
    </row>
    <row x14ac:dyDescent="0.25" r="12" customHeight="1" ht="17.25">
      <c r="A12" s="5">
        <v>261</v>
      </c>
      <c r="B12" s="5">
        <v>1452</v>
      </c>
      <c r="C12" s="5">
        <v>1534</v>
      </c>
      <c r="D12" s="6">
        <v>1492.4369333409034</v>
      </c>
      <c r="E12" s="6">
        <v>23.67136103677466</v>
      </c>
      <c r="F12" s="6">
        <v>242.5</v>
      </c>
      <c r="G12" s="6">
        <v>1229.4369333409034</v>
      </c>
      <c r="H12" s="6">
        <v>23.67136103677466</v>
      </c>
      <c r="I12" s="6">
        <v>0.11547005383792516</v>
      </c>
      <c r="J12" s="6">
        <v>242.5</v>
      </c>
      <c r="K12" s="6">
        <v>1229.4369333409034</v>
      </c>
      <c r="L12" s="6">
        <v>242.5</v>
      </c>
      <c r="M12" s="6">
        <v>1229.4369333409034</v>
      </c>
    </row>
    <row x14ac:dyDescent="0.25" r="13" customHeight="1" ht="17.25">
      <c r="A13" s="5">
        <v>262</v>
      </c>
      <c r="B13" s="5">
        <v>1442</v>
      </c>
      <c r="C13" s="5">
        <v>1520</v>
      </c>
      <c r="D13" s="6">
        <v>1480.4864065569802</v>
      </c>
      <c r="E13" s="6">
        <v>22.516660498395407</v>
      </c>
      <c r="F13" s="6">
        <v>243.5</v>
      </c>
      <c r="G13" s="6">
        <v>1216.4864065569802</v>
      </c>
      <c r="H13" s="6">
        <v>22.516660498395407</v>
      </c>
      <c r="I13" s="6">
        <v>0.11547005383792516</v>
      </c>
      <c r="J13" s="6">
        <v>243.5</v>
      </c>
      <c r="K13" s="6">
        <v>1216.4864065569802</v>
      </c>
      <c r="L13" s="6">
        <v>243.5</v>
      </c>
      <c r="M13" s="6">
        <v>1216.4864065569802</v>
      </c>
    </row>
    <row x14ac:dyDescent="0.25" r="14" customHeight="1" ht="17.25">
      <c r="A14" s="5">
        <v>263</v>
      </c>
      <c r="B14" s="5">
        <v>1402</v>
      </c>
      <c r="C14" s="5">
        <v>1485</v>
      </c>
      <c r="D14" s="6">
        <v>1442.9033231647918</v>
      </c>
      <c r="E14" s="6">
        <v>23.96003617136947</v>
      </c>
      <c r="F14" s="6">
        <v>244.5</v>
      </c>
      <c r="G14" s="6">
        <v>1177.9033231647918</v>
      </c>
      <c r="H14" s="6">
        <v>23.96003617136947</v>
      </c>
      <c r="I14" s="6">
        <v>0.11547005383792516</v>
      </c>
      <c r="J14" s="6">
        <v>244.5</v>
      </c>
      <c r="K14" s="6">
        <v>1177.9033231647918</v>
      </c>
      <c r="L14" s="6">
        <v>244.5</v>
      </c>
      <c r="M14" s="6">
        <v>1177.9033231647918</v>
      </c>
    </row>
    <row x14ac:dyDescent="0.25" r="15" customHeight="1" ht="17.25">
      <c r="A15" s="5">
        <v>264</v>
      </c>
      <c r="B15" s="5">
        <v>1391</v>
      </c>
      <c r="C15" s="5">
        <v>1462</v>
      </c>
      <c r="D15" s="6">
        <v>1426.0582035807654</v>
      </c>
      <c r="E15" s="6">
        <v>20.495934556231717</v>
      </c>
      <c r="F15" s="6">
        <v>245.5</v>
      </c>
      <c r="G15" s="6">
        <v>1160.0582035807654</v>
      </c>
      <c r="H15" s="6">
        <v>20.495934556231717</v>
      </c>
      <c r="I15" s="6">
        <v>0.11547005383792516</v>
      </c>
      <c r="J15" s="6">
        <v>245.5</v>
      </c>
      <c r="K15" s="6">
        <v>1160.0582035807654</v>
      </c>
      <c r="L15" s="6">
        <v>245.5</v>
      </c>
      <c r="M15" s="6">
        <v>1160.0582035807654</v>
      </c>
    </row>
    <row x14ac:dyDescent="0.25" r="16" customHeight="1" ht="17.25">
      <c r="A16" s="5">
        <v>265</v>
      </c>
      <c r="B16" s="5">
        <v>1365</v>
      </c>
      <c r="C16" s="5">
        <v>1436</v>
      </c>
      <c r="D16" s="6">
        <v>1400.0499991071747</v>
      </c>
      <c r="E16" s="6">
        <v>20.495934556231717</v>
      </c>
      <c r="F16" s="6">
        <v>246.5</v>
      </c>
      <c r="G16" s="6">
        <v>1133.0499991071747</v>
      </c>
      <c r="H16" s="6">
        <v>20.495934556231717</v>
      </c>
      <c r="I16" s="6">
        <v>0.11547005383792516</v>
      </c>
      <c r="J16" s="6">
        <v>246.5</v>
      </c>
      <c r="K16" s="6">
        <v>1133.0499991071747</v>
      </c>
      <c r="L16" s="6">
        <v>246.5</v>
      </c>
      <c r="M16" s="6">
        <v>1133.0499991071747</v>
      </c>
    </row>
    <row x14ac:dyDescent="0.25" r="17" customHeight="1" ht="17.25">
      <c r="A17" s="5">
        <v>266</v>
      </c>
      <c r="B17" s="5">
        <v>1358</v>
      </c>
      <c r="C17" s="5">
        <v>1431</v>
      </c>
      <c r="D17" s="6">
        <v>1394.0222379861807</v>
      </c>
      <c r="E17" s="6">
        <v>21.073284825421343</v>
      </c>
      <c r="F17" s="6">
        <v>247.5</v>
      </c>
      <c r="G17" s="6">
        <v>1126.0222379861807</v>
      </c>
      <c r="H17" s="6">
        <v>21.073284825421343</v>
      </c>
      <c r="I17" s="6">
        <v>0.11547005383792516</v>
      </c>
      <c r="J17" s="6">
        <v>247.5</v>
      </c>
      <c r="K17" s="6">
        <v>1126.0222379861807</v>
      </c>
      <c r="L17" s="6">
        <v>247.5</v>
      </c>
      <c r="M17" s="6">
        <v>1126.0222379861807</v>
      </c>
    </row>
    <row x14ac:dyDescent="0.25" r="18" customHeight="1" ht="17.25">
      <c r="A18" s="5">
        <v>267</v>
      </c>
      <c r="B18" s="5">
        <v>1346</v>
      </c>
      <c r="C18" s="5">
        <v>1406</v>
      </c>
      <c r="D18" s="6">
        <v>1375.6729262437348</v>
      </c>
      <c r="E18" s="6">
        <v>17.320508075688775</v>
      </c>
      <c r="F18" s="6">
        <v>248.5</v>
      </c>
      <c r="G18" s="6">
        <v>1106.6729262437348</v>
      </c>
      <c r="H18" s="6">
        <v>17.320508075688775</v>
      </c>
      <c r="I18" s="6">
        <v>0.11547005383792516</v>
      </c>
      <c r="J18" s="6">
        <v>248.5</v>
      </c>
      <c r="K18" s="6">
        <v>1106.6729262437348</v>
      </c>
      <c r="L18" s="6">
        <v>248.5</v>
      </c>
      <c r="M18" s="6">
        <v>1106.6729262437348</v>
      </c>
    </row>
    <row x14ac:dyDescent="0.25" r="19" customHeight="1" ht="17.25">
      <c r="A19" s="5">
        <v>268</v>
      </c>
      <c r="B19" s="5">
        <v>1323</v>
      </c>
      <c r="C19" s="5">
        <v>1390</v>
      </c>
      <c r="D19" s="6">
        <v>1356.086280440887</v>
      </c>
      <c r="E19" s="6">
        <v>19.341234017852464</v>
      </c>
      <c r="F19" s="6">
        <v>249.5</v>
      </c>
      <c r="G19" s="6">
        <v>1086.086280440887</v>
      </c>
      <c r="H19" s="6">
        <v>19.341234017852464</v>
      </c>
      <c r="I19" s="6">
        <v>0.11547005383792516</v>
      </c>
      <c r="J19" s="6">
        <v>249.5</v>
      </c>
      <c r="K19" s="6">
        <v>1086.086280440887</v>
      </c>
      <c r="L19" s="6">
        <v>249.5</v>
      </c>
      <c r="M19" s="6">
        <v>1086.086280440887</v>
      </c>
    </row>
    <row x14ac:dyDescent="0.25" r="20" customHeight="1" ht="17.25">
      <c r="A20" s="5">
        <v>269</v>
      </c>
      <c r="B20" s="5">
        <v>1303</v>
      </c>
      <c r="C20" s="5">
        <v>1368</v>
      </c>
      <c r="D20" s="6">
        <v>1335.104490292801</v>
      </c>
      <c r="E20" s="6">
        <v>18.76388374866284</v>
      </c>
      <c r="F20" s="6">
        <v>250.5</v>
      </c>
      <c r="G20" s="6">
        <v>1064.104490292801</v>
      </c>
      <c r="H20" s="6">
        <v>18.76388374866284</v>
      </c>
      <c r="I20" s="6">
        <v>0.11547005383792516</v>
      </c>
      <c r="J20" s="6">
        <v>250.5</v>
      </c>
      <c r="K20" s="6">
        <v>1064.104490292801</v>
      </c>
      <c r="L20" s="6">
        <v>250.5</v>
      </c>
      <c r="M20" s="6">
        <v>1064.104490292801</v>
      </c>
    </row>
    <row x14ac:dyDescent="0.25" r="21" customHeight="1" ht="17.25">
      <c r="A21" s="5">
        <v>270</v>
      </c>
      <c r="B21" s="5">
        <v>1294</v>
      </c>
      <c r="C21" s="5">
        <v>1346</v>
      </c>
      <c r="D21" s="6">
        <v>1319.7439145531227</v>
      </c>
      <c r="E21" s="6">
        <v>15.01110699893027</v>
      </c>
      <c r="F21" s="6">
        <v>251.5</v>
      </c>
      <c r="G21" s="6">
        <v>1047.7439145531227</v>
      </c>
      <c r="H21" s="6">
        <v>15.01110699893027</v>
      </c>
      <c r="I21" s="6">
        <v>0.11547005383792516</v>
      </c>
      <c r="J21" s="6">
        <v>251.5</v>
      </c>
      <c r="K21" s="6">
        <v>1047.7439145531227</v>
      </c>
      <c r="L21" s="6">
        <v>251.5</v>
      </c>
      <c r="M21" s="6">
        <v>1047.7439145531227</v>
      </c>
    </row>
    <row x14ac:dyDescent="0.25" r="22" customHeight="1" ht="17.25">
      <c r="A22" s="5">
        <v>271</v>
      </c>
      <c r="B22" s="5">
        <v>1276</v>
      </c>
      <c r="C22" s="5">
        <v>1324</v>
      </c>
      <c r="D22" s="6">
        <v>1299.778442658594</v>
      </c>
      <c r="E22" s="6">
        <v>13.85640646055102</v>
      </c>
      <c r="F22" s="6">
        <v>252.5</v>
      </c>
      <c r="G22" s="6">
        <v>1026.778442658594</v>
      </c>
      <c r="H22" s="6">
        <v>13.85640646055102</v>
      </c>
      <c r="I22" s="6">
        <v>0.11547005383792516</v>
      </c>
      <c r="J22" s="6">
        <v>252.5</v>
      </c>
      <c r="K22" s="6">
        <v>1026.778442658594</v>
      </c>
      <c r="L22" s="6">
        <v>252.5</v>
      </c>
      <c r="M22" s="6">
        <v>1026.778442658594</v>
      </c>
    </row>
    <row x14ac:dyDescent="0.25" r="23" customHeight="1" ht="17.25">
      <c r="A23" s="5">
        <v>272</v>
      </c>
      <c r="B23" s="5">
        <v>1264</v>
      </c>
      <c r="C23" s="5">
        <v>1314</v>
      </c>
      <c r="D23" s="6">
        <v>1288.7575412000506</v>
      </c>
      <c r="E23" s="6">
        <v>14.433756729740645</v>
      </c>
      <c r="F23" s="6">
        <v>253.5</v>
      </c>
      <c r="G23" s="6">
        <v>1014.7575412000506</v>
      </c>
      <c r="H23" s="6">
        <v>14.433756729740645</v>
      </c>
      <c r="I23" s="6">
        <v>0.11547005383792516</v>
      </c>
      <c r="J23" s="6">
        <v>253.5</v>
      </c>
      <c r="K23" s="6">
        <v>1014.7575412000506</v>
      </c>
      <c r="L23" s="6">
        <v>253.5</v>
      </c>
      <c r="M23" s="6">
        <v>1014.7575412000506</v>
      </c>
    </row>
    <row x14ac:dyDescent="0.25" r="24" customHeight="1" ht="17.25">
      <c r="A24" s="5">
        <v>273</v>
      </c>
      <c r="B24" s="5">
        <v>1241</v>
      </c>
      <c r="C24" s="5">
        <v>1304</v>
      </c>
      <c r="D24" s="6">
        <v>1272.110058131764</v>
      </c>
      <c r="E24" s="6">
        <v>18.186533479473212</v>
      </c>
      <c r="F24" s="6">
        <v>254.5</v>
      </c>
      <c r="G24" s="6">
        <v>997.1100581317639</v>
      </c>
      <c r="H24" s="6">
        <v>18.186533479473212</v>
      </c>
      <c r="I24" s="6">
        <v>0.11547005383792516</v>
      </c>
      <c r="J24" s="6">
        <v>254.5</v>
      </c>
      <c r="K24" s="6">
        <v>997.1100581317639</v>
      </c>
      <c r="L24" s="6">
        <v>254.5</v>
      </c>
      <c r="M24" s="6">
        <v>997.1100581317639</v>
      </c>
    </row>
    <row x14ac:dyDescent="0.25" r="25" customHeight="1" ht="17.25">
      <c r="A25" s="5">
        <v>274</v>
      </c>
      <c r="B25" s="5">
        <v>1236</v>
      </c>
      <c r="C25" s="5">
        <v>1289</v>
      </c>
      <c r="D25" s="6">
        <v>1262.221850547676</v>
      </c>
      <c r="E25" s="6">
        <v>15.299782133525083</v>
      </c>
      <c r="F25" s="6">
        <v>255.5</v>
      </c>
      <c r="G25" s="6">
        <v>986.221850547676</v>
      </c>
      <c r="H25" s="6">
        <v>15.299782133525083</v>
      </c>
      <c r="I25" s="6">
        <v>0.11547005383792516</v>
      </c>
      <c r="J25" s="6">
        <v>255.5</v>
      </c>
      <c r="K25" s="6">
        <v>986.221850547676</v>
      </c>
      <c r="L25" s="6">
        <v>255.5</v>
      </c>
      <c r="M25" s="6">
        <v>986.221850547676</v>
      </c>
    </row>
    <row x14ac:dyDescent="0.25" r="26" customHeight="1" ht="17.25">
      <c r="A26" s="5">
        <v>275</v>
      </c>
      <c r="B26" s="5">
        <v>1221</v>
      </c>
      <c r="C26" s="5">
        <v>1268</v>
      </c>
      <c r="D26" s="6">
        <v>1244.2781039622935</v>
      </c>
      <c r="E26" s="6">
        <v>13.567731325956206</v>
      </c>
      <c r="F26" s="6">
        <v>256.5</v>
      </c>
      <c r="G26" s="6">
        <v>967.2781039622935</v>
      </c>
      <c r="H26" s="6">
        <v>13.567731325956206</v>
      </c>
      <c r="I26" s="6">
        <v>0.11547005383792516</v>
      </c>
      <c r="J26" s="6">
        <v>256.5</v>
      </c>
      <c r="K26" s="6">
        <v>967.2781039622935</v>
      </c>
      <c r="L26" s="6">
        <v>256.5</v>
      </c>
      <c r="M26" s="6">
        <v>967.2781039622935</v>
      </c>
    </row>
    <row x14ac:dyDescent="0.25" r="27" customHeight="1" ht="17.25">
      <c r="A27" s="5">
        <v>276</v>
      </c>
      <c r="B27" s="5">
        <v>1206</v>
      </c>
      <c r="C27" s="5">
        <v>1254</v>
      </c>
      <c r="D27" s="6">
        <v>1229.7658313679071</v>
      </c>
      <c r="E27" s="6">
        <v>13.85640646055102</v>
      </c>
      <c r="F27" s="6">
        <v>257.5</v>
      </c>
      <c r="G27" s="6">
        <v>951.7658313679071</v>
      </c>
      <c r="H27" s="6">
        <v>13.85640646055102</v>
      </c>
      <c r="I27" s="6">
        <v>0.11547005383792516</v>
      </c>
      <c r="J27" s="6">
        <v>257.5</v>
      </c>
      <c r="K27" s="6">
        <v>951.7658313679071</v>
      </c>
      <c r="L27" s="6">
        <v>257.5</v>
      </c>
      <c r="M27" s="6">
        <v>951.7658313679071</v>
      </c>
    </row>
    <row x14ac:dyDescent="0.25" r="28" customHeight="1" ht="17.25">
      <c r="A28" s="5">
        <v>277</v>
      </c>
      <c r="B28" s="5">
        <v>1196</v>
      </c>
      <c r="C28" s="5">
        <v>1234</v>
      </c>
      <c r="D28" s="6">
        <v>1214.8514312458128</v>
      </c>
      <c r="E28" s="6">
        <v>10.96965511460289</v>
      </c>
      <c r="F28" s="6">
        <v>258.5</v>
      </c>
      <c r="G28" s="6">
        <v>935.8514312458128</v>
      </c>
      <c r="H28" s="6">
        <v>10.96965511460289</v>
      </c>
      <c r="I28" s="6">
        <v>0.11547005383792516</v>
      </c>
      <c r="J28" s="6">
        <v>258.5</v>
      </c>
      <c r="K28" s="6">
        <v>935.8514312458128</v>
      </c>
      <c r="L28" s="6">
        <v>258.5</v>
      </c>
      <c r="M28" s="6">
        <v>935.8514312458128</v>
      </c>
    </row>
    <row x14ac:dyDescent="0.25" r="29" customHeight="1" ht="17.25">
      <c r="A29" s="5">
        <v>278</v>
      </c>
      <c r="B29" s="5">
        <v>1180</v>
      </c>
      <c r="C29" s="5">
        <v>1223</v>
      </c>
      <c r="D29" s="6">
        <v>1201.307620886507</v>
      </c>
      <c r="E29" s="6">
        <v>12.413030787576954</v>
      </c>
      <c r="F29" s="6">
        <v>259.5</v>
      </c>
      <c r="G29" s="6">
        <v>921.307620886507</v>
      </c>
      <c r="H29" s="6">
        <v>12.413030787576954</v>
      </c>
      <c r="I29" s="6">
        <v>0.11547005383792516</v>
      </c>
      <c r="J29" s="6">
        <v>259.5</v>
      </c>
      <c r="K29" s="6">
        <v>921.307620886507</v>
      </c>
      <c r="L29" s="6">
        <v>259.5</v>
      </c>
      <c r="M29" s="6">
        <v>921.307620886507</v>
      </c>
    </row>
    <row x14ac:dyDescent="0.25" r="30" customHeight="1" ht="17.25">
      <c r="A30" s="5">
        <v>279</v>
      </c>
      <c r="B30" s="5">
        <v>1176</v>
      </c>
      <c r="C30" s="5">
        <v>1213</v>
      </c>
      <c r="D30" s="6">
        <v>1194.356730629505</v>
      </c>
      <c r="E30" s="6">
        <v>10.680979980008077</v>
      </c>
      <c r="F30" s="6">
        <v>260.5</v>
      </c>
      <c r="G30" s="6">
        <v>913.3567306295049</v>
      </c>
      <c r="H30" s="6">
        <v>10.680979980008077</v>
      </c>
      <c r="I30" s="6">
        <v>0.11547005383792516</v>
      </c>
      <c r="J30" s="6">
        <v>260.5</v>
      </c>
      <c r="K30" s="6">
        <v>913.3567306295049</v>
      </c>
      <c r="L30" s="6">
        <v>260.5</v>
      </c>
      <c r="M30" s="6">
        <v>913.3567306295049</v>
      </c>
    </row>
    <row x14ac:dyDescent="0.25" r="31" customHeight="1" ht="17.25">
      <c r="A31" s="5">
        <v>280</v>
      </c>
      <c r="B31" s="5">
        <v>1164</v>
      </c>
      <c r="C31" s="5">
        <v>1205</v>
      </c>
      <c r="D31" s="6">
        <v>1184.3225911887353</v>
      </c>
      <c r="E31" s="6">
        <v>11.83568051838733</v>
      </c>
      <c r="F31" s="6">
        <v>261.5</v>
      </c>
      <c r="G31" s="6">
        <v>902.3225911887353</v>
      </c>
      <c r="H31" s="6">
        <v>11.83568051838733</v>
      </c>
      <c r="I31" s="6">
        <v>0.11547005383792516</v>
      </c>
      <c r="J31" s="6">
        <v>261.5</v>
      </c>
      <c r="K31" s="6">
        <v>902.3225911887353</v>
      </c>
      <c r="L31" s="6">
        <v>261.5</v>
      </c>
      <c r="M31" s="6">
        <v>902.3225911887353</v>
      </c>
    </row>
    <row x14ac:dyDescent="0.25" r="32" customHeight="1" ht="17.25">
      <c r="A32" s="5">
        <v>281</v>
      </c>
      <c r="B32" s="5">
        <v>1153</v>
      </c>
      <c r="C32" s="5">
        <v>1189</v>
      </c>
      <c r="D32" s="6">
        <v>1170.861648530688</v>
      </c>
      <c r="E32" s="6">
        <v>10.392304845413264</v>
      </c>
      <c r="F32" s="6">
        <v>262.5</v>
      </c>
      <c r="G32" s="6">
        <v>887.861648530688</v>
      </c>
      <c r="H32" s="6">
        <v>10.392304845413264</v>
      </c>
      <c r="I32" s="6">
        <v>0.11547005383792516</v>
      </c>
      <c r="J32" s="6">
        <v>262.5</v>
      </c>
      <c r="K32" s="6">
        <v>887.861648530688</v>
      </c>
      <c r="L32" s="6">
        <v>262.5</v>
      </c>
      <c r="M32" s="6">
        <v>887.861648530688</v>
      </c>
    </row>
    <row x14ac:dyDescent="0.25" r="33" customHeight="1" ht="17.25">
      <c r="A33" s="5">
        <v>282</v>
      </c>
      <c r="B33" s="5">
        <v>1149</v>
      </c>
      <c r="C33" s="5">
        <v>1182</v>
      </c>
      <c r="D33" s="6">
        <v>1165.3831987805556</v>
      </c>
      <c r="E33" s="6">
        <v>9.526279441628825</v>
      </c>
      <c r="F33" s="6">
        <v>263.5</v>
      </c>
      <c r="G33" s="6">
        <v>881.3831987805556</v>
      </c>
      <c r="H33" s="6">
        <v>9.526279441628825</v>
      </c>
      <c r="I33" s="6">
        <v>0.11547005383792516</v>
      </c>
      <c r="J33" s="6">
        <v>263.5</v>
      </c>
      <c r="K33" s="6">
        <v>881.3831987805556</v>
      </c>
      <c r="L33" s="6">
        <v>263.5</v>
      </c>
      <c r="M33" s="6">
        <v>881.3831987805556</v>
      </c>
    </row>
    <row x14ac:dyDescent="0.25" r="34" customHeight="1" ht="17.25">
      <c r="A34" s="5">
        <v>283</v>
      </c>
      <c r="B34" s="5">
        <v>1136</v>
      </c>
      <c r="C34" s="5">
        <v>1169</v>
      </c>
      <c r="D34" s="6">
        <v>1152.3818811487797</v>
      </c>
      <c r="E34" s="6">
        <v>9.526279441628825</v>
      </c>
      <c r="F34" s="6">
        <v>264.5</v>
      </c>
      <c r="G34" s="6">
        <v>867.3818811487797</v>
      </c>
      <c r="H34" s="6">
        <v>9.526279441628825</v>
      </c>
      <c r="I34" s="6">
        <v>0.11547005383792516</v>
      </c>
      <c r="J34" s="6">
        <v>264.5</v>
      </c>
      <c r="K34" s="6">
        <v>867.3818811487797</v>
      </c>
      <c r="L34" s="6">
        <v>264.5</v>
      </c>
      <c r="M34" s="6">
        <v>867.3818811487797</v>
      </c>
    </row>
    <row x14ac:dyDescent="0.25" r="35" customHeight="1" ht="17.25">
      <c r="A35" s="5">
        <v>284</v>
      </c>
      <c r="B35" s="5">
        <v>1122</v>
      </c>
      <c r="C35" s="5">
        <v>1163</v>
      </c>
      <c r="D35" s="6">
        <v>1142.3160683453596</v>
      </c>
      <c r="E35" s="6">
        <v>11.83568051838733</v>
      </c>
      <c r="F35" s="6">
        <v>265.5</v>
      </c>
      <c r="G35" s="6">
        <v>856.3160683453596</v>
      </c>
      <c r="H35" s="6">
        <v>11.83568051838733</v>
      </c>
      <c r="I35" s="6">
        <v>0.11547005383792516</v>
      </c>
      <c r="J35" s="6">
        <v>265.5</v>
      </c>
      <c r="K35" s="6">
        <v>856.3160683453596</v>
      </c>
      <c r="L35" s="6">
        <v>265.5</v>
      </c>
      <c r="M35" s="6">
        <v>856.3160683453596</v>
      </c>
    </row>
    <row x14ac:dyDescent="0.25" r="36" customHeight="1" ht="17.25">
      <c r="A36" s="5">
        <v>286</v>
      </c>
      <c r="B36" s="5">
        <v>1110</v>
      </c>
      <c r="C36" s="5">
        <v>1138</v>
      </c>
      <c r="D36" s="6">
        <v>1123.9128080060302</v>
      </c>
      <c r="E36" s="6">
        <v>8.082903768654761</v>
      </c>
      <c r="F36" s="6">
        <v>267.5</v>
      </c>
      <c r="G36" s="6">
        <v>835.9128080060302</v>
      </c>
      <c r="H36" s="6">
        <v>8.082903768654761</v>
      </c>
      <c r="I36" s="6">
        <v>0.11547005383792516</v>
      </c>
      <c r="J36" s="6">
        <v>267.5</v>
      </c>
      <c r="K36" s="6">
        <v>835.9128080060302</v>
      </c>
      <c r="L36" s="6">
        <v>267.5</v>
      </c>
      <c r="M36" s="6">
        <v>835.9128080060302</v>
      </c>
    </row>
    <row x14ac:dyDescent="0.25" r="37" customHeight="1" ht="17.25">
      <c r="A37" s="5">
        <v>288</v>
      </c>
      <c r="B37" s="5">
        <v>1094</v>
      </c>
      <c r="C37" s="5">
        <v>1121</v>
      </c>
      <c r="D37" s="6">
        <v>1107.4177170336404</v>
      </c>
      <c r="E37" s="6">
        <v>7.794228634059948</v>
      </c>
      <c r="F37" s="6">
        <v>269.5</v>
      </c>
      <c r="G37" s="6">
        <v>817.4177170336404</v>
      </c>
      <c r="H37" s="6">
        <v>7.794228634059948</v>
      </c>
      <c r="I37" s="6">
        <v>0.11547005383792516</v>
      </c>
      <c r="J37" s="6">
        <v>269.5</v>
      </c>
      <c r="K37" s="6">
        <v>817.4177170336404</v>
      </c>
      <c r="L37" s="6">
        <v>269.5</v>
      </c>
      <c r="M37" s="6">
        <v>817.4177170336404</v>
      </c>
    </row>
    <row x14ac:dyDescent="0.25" r="38" customHeight="1" ht="17.25">
      <c r="A38" s="5">
        <v>290</v>
      </c>
      <c r="B38" s="5">
        <v>1076</v>
      </c>
      <c r="C38" s="5">
        <v>1107</v>
      </c>
      <c r="D38" s="6">
        <v>1091.3899394808439</v>
      </c>
      <c r="E38" s="6">
        <v>8.9489291724392</v>
      </c>
      <c r="F38" s="6">
        <v>271.5</v>
      </c>
      <c r="G38" s="6">
        <v>799.3899394808439</v>
      </c>
      <c r="H38" s="6">
        <v>8.9489291724392</v>
      </c>
      <c r="I38" s="6">
        <v>0.11547005383792516</v>
      </c>
      <c r="J38" s="6">
        <v>271.5</v>
      </c>
      <c r="K38" s="6">
        <v>799.3899394808439</v>
      </c>
      <c r="L38" s="6">
        <v>271.5</v>
      </c>
      <c r="M38" s="6">
        <v>799.3899394808439</v>
      </c>
    </row>
    <row x14ac:dyDescent="0.25" r="39" customHeight="1" ht="17.25">
      <c r="A39" s="5">
        <v>292</v>
      </c>
      <c r="B39" s="5">
        <v>1064</v>
      </c>
      <c r="C39" s="5">
        <v>1092</v>
      </c>
      <c r="D39" s="6">
        <v>1077.9090870755288</v>
      </c>
      <c r="E39" s="6">
        <v>8.082903768654761</v>
      </c>
      <c r="F39" s="6">
        <v>273.5</v>
      </c>
      <c r="G39" s="6">
        <v>783.9090870755288</v>
      </c>
      <c r="H39" s="6">
        <v>8.082903768654761</v>
      </c>
      <c r="I39" s="6">
        <v>0.11547005383792516</v>
      </c>
      <c r="J39" s="6">
        <v>273.5</v>
      </c>
      <c r="K39" s="6">
        <v>783.9090870755288</v>
      </c>
      <c r="L39" s="6">
        <v>273.5</v>
      </c>
      <c r="M39" s="6">
        <v>783.9090870755288</v>
      </c>
    </row>
    <row x14ac:dyDescent="0.25" r="40" customHeight="1" ht="17.25">
      <c r="A40" s="5">
        <v>294</v>
      </c>
      <c r="B40" s="5">
        <v>1048</v>
      </c>
      <c r="C40" s="5">
        <v>1079</v>
      </c>
      <c r="D40" s="6">
        <v>1063.3870414858363</v>
      </c>
      <c r="E40" s="6">
        <v>8.9489291724392</v>
      </c>
      <c r="F40" s="6">
        <v>275.5</v>
      </c>
      <c r="G40" s="6">
        <v>767.3870414858363</v>
      </c>
      <c r="H40" s="6">
        <v>8.9489291724392</v>
      </c>
      <c r="I40" s="6">
        <v>0.11547005383792516</v>
      </c>
      <c r="J40" s="6">
        <v>275.5</v>
      </c>
      <c r="K40" s="6">
        <v>767.3870414858363</v>
      </c>
      <c r="L40" s="6">
        <v>275.5</v>
      </c>
      <c r="M40" s="6">
        <v>767.3870414858363</v>
      </c>
    </row>
    <row x14ac:dyDescent="0.25" r="41" customHeight="1" ht="17.25">
      <c r="A41" s="5">
        <v>296</v>
      </c>
      <c r="B41" s="5">
        <v>1041</v>
      </c>
      <c r="C41" s="5">
        <v>1064</v>
      </c>
      <c r="D41" s="6">
        <v>1052.4371715214168</v>
      </c>
      <c r="E41" s="6">
        <v>6.639528095680697</v>
      </c>
      <c r="F41" s="6">
        <v>277.5</v>
      </c>
      <c r="G41" s="6">
        <v>754.4371715214168</v>
      </c>
      <c r="H41" s="6">
        <v>6.639528095680697</v>
      </c>
      <c r="I41" s="6">
        <v>0.11547005383792516</v>
      </c>
      <c r="J41" s="6">
        <v>277.5</v>
      </c>
      <c r="K41" s="6">
        <v>754.4371715214168</v>
      </c>
      <c r="L41" s="6">
        <v>277.5</v>
      </c>
      <c r="M41" s="6">
        <v>754.4371715214168</v>
      </c>
    </row>
    <row x14ac:dyDescent="0.25" r="42" customHeight="1" ht="17.25">
      <c r="A42" s="5">
        <v>299</v>
      </c>
      <c r="B42" s="5">
        <v>1015</v>
      </c>
      <c r="C42" s="5">
        <v>1047</v>
      </c>
      <c r="D42" s="6">
        <v>1030.875841214644</v>
      </c>
      <c r="E42" s="6">
        <v>9.237604307034013</v>
      </c>
      <c r="F42" s="6">
        <v>280.5</v>
      </c>
      <c r="G42" s="6">
        <v>729.875841214644</v>
      </c>
      <c r="H42" s="6">
        <v>9.237604307034013</v>
      </c>
      <c r="I42" s="6">
        <v>0.11547005383792516</v>
      </c>
      <c r="J42" s="6">
        <v>280.5</v>
      </c>
      <c r="K42" s="6">
        <v>729.875841214644</v>
      </c>
      <c r="L42" s="6">
        <v>280.5</v>
      </c>
      <c r="M42" s="6">
        <v>729.875841214644</v>
      </c>
    </row>
    <row x14ac:dyDescent="0.25" r="43" customHeight="1" ht="17.25">
      <c r="A43" s="5">
        <v>300</v>
      </c>
      <c r="B43" s="5">
        <v>1011</v>
      </c>
      <c r="C43" s="5">
        <v>1044</v>
      </c>
      <c r="D43" s="6">
        <v>1027.3675097062394</v>
      </c>
      <c r="E43" s="6">
        <v>9.526279441628825</v>
      </c>
      <c r="F43" s="6">
        <v>281.5</v>
      </c>
      <c r="G43" s="6">
        <v>725.3675097062394</v>
      </c>
      <c r="H43" s="6">
        <v>9.526279441628825</v>
      </c>
      <c r="I43" s="6">
        <v>0.11547005383792516</v>
      </c>
      <c r="J43" s="6">
        <v>281.5</v>
      </c>
      <c r="K43" s="6">
        <v>725.3675097062394</v>
      </c>
      <c r="L43" s="6">
        <v>281.5</v>
      </c>
      <c r="M43" s="6">
        <v>725.3675097062394</v>
      </c>
    </row>
    <row x14ac:dyDescent="0.25" r="44" customHeight="1" ht="17.25">
      <c r="A44" s="5">
        <v>301</v>
      </c>
      <c r="B44" s="5">
        <v>1005</v>
      </c>
      <c r="C44" s="5">
        <v>1037</v>
      </c>
      <c r="D44" s="6">
        <v>1020.8746250152367</v>
      </c>
      <c r="E44" s="6">
        <v>9.237604307034013</v>
      </c>
      <c r="F44" s="6">
        <v>282.5</v>
      </c>
      <c r="G44" s="6">
        <v>717.8746250152367</v>
      </c>
      <c r="H44" s="6">
        <v>9.237604307034013</v>
      </c>
      <c r="I44" s="6">
        <v>0.11547005383792516</v>
      </c>
      <c r="J44" s="6">
        <v>282.5</v>
      </c>
      <c r="K44" s="6">
        <v>717.8746250152367</v>
      </c>
      <c r="L44" s="6">
        <v>282.5</v>
      </c>
      <c r="M44" s="6">
        <v>717.8746250152367</v>
      </c>
    </row>
    <row x14ac:dyDescent="0.25" r="45" customHeight="1" ht="17.25">
      <c r="A45" s="5">
        <v>302</v>
      </c>
      <c r="B45" s="5">
        <v>1001</v>
      </c>
      <c r="C45" s="5">
        <v>1020</v>
      </c>
      <c r="D45" s="6">
        <v>1010.4553429023966</v>
      </c>
      <c r="E45" s="6">
        <v>5.484827557301445</v>
      </c>
      <c r="F45" s="6">
        <v>283.5</v>
      </c>
      <c r="G45" s="6">
        <v>706.4553429023966</v>
      </c>
      <c r="H45" s="6">
        <v>5.484827557301445</v>
      </c>
      <c r="I45" s="6">
        <v>0.11547005383792516</v>
      </c>
      <c r="J45" s="6">
        <v>283.5</v>
      </c>
      <c r="K45" s="6">
        <v>706.4553429023966</v>
      </c>
      <c r="L45" s="6">
        <v>283.5</v>
      </c>
      <c r="M45" s="6">
        <v>706.4553429023966</v>
      </c>
    </row>
    <row x14ac:dyDescent="0.25" r="46" customHeight="1" ht="17.25">
      <c r="A46" s="5">
        <v>303</v>
      </c>
      <c r="B46" s="5">
        <v>992</v>
      </c>
      <c r="C46" s="5">
        <v>1015</v>
      </c>
      <c r="D46" s="6">
        <v>1003.43410346669</v>
      </c>
      <c r="E46" s="6">
        <v>6.639528095680697</v>
      </c>
      <c r="F46" s="6">
        <v>284.5</v>
      </c>
      <c r="G46" s="6">
        <v>698.43410346669</v>
      </c>
      <c r="H46" s="6">
        <v>6.639528095680697</v>
      </c>
      <c r="I46" s="6">
        <v>0.11547005383792516</v>
      </c>
      <c r="J46" s="6">
        <v>284.5</v>
      </c>
      <c r="K46" s="6">
        <v>698.43410346669</v>
      </c>
      <c r="L46" s="6">
        <v>284.5</v>
      </c>
      <c r="M46" s="6">
        <v>698.43410346669</v>
      </c>
    </row>
    <row x14ac:dyDescent="0.25" r="47" customHeight="1" ht="17.25">
      <c r="A47" s="5">
        <v>304</v>
      </c>
      <c r="B47" s="5">
        <v>992</v>
      </c>
      <c r="C47" s="5">
        <v>1015</v>
      </c>
      <c r="D47" s="6">
        <v>1003.43410346669</v>
      </c>
      <c r="E47" s="6">
        <v>6.639528095680697</v>
      </c>
      <c r="F47" s="6">
        <v>285.5</v>
      </c>
      <c r="G47" s="6">
        <v>697.43410346669</v>
      </c>
      <c r="H47" s="6">
        <v>6.639528095680697</v>
      </c>
      <c r="I47" s="6">
        <v>0.11547005383792516</v>
      </c>
      <c r="J47" s="6">
        <v>285.5</v>
      </c>
      <c r="K47" s="6">
        <v>697.43410346669</v>
      </c>
      <c r="L47" s="6">
        <v>285.5</v>
      </c>
      <c r="M47" s="6">
        <v>697.43410346669</v>
      </c>
    </row>
    <row x14ac:dyDescent="0.25" r="48" customHeight="1" ht="17.25">
      <c r="A48" s="5">
        <v>305</v>
      </c>
      <c r="B48" s="5">
        <v>986</v>
      </c>
      <c r="C48" s="5">
        <v>1006</v>
      </c>
      <c r="D48" s="6">
        <v>995.9497979316026</v>
      </c>
      <c r="E48" s="6">
        <v>5.773502691896258</v>
      </c>
      <c r="F48" s="6">
        <v>286.5</v>
      </c>
      <c r="G48" s="6">
        <v>688.9497979316026</v>
      </c>
      <c r="H48" s="6">
        <v>5.773502691896258</v>
      </c>
      <c r="I48" s="6">
        <v>0.11547005383792516</v>
      </c>
      <c r="J48" s="6">
        <v>286.5</v>
      </c>
      <c r="K48" s="6">
        <v>688.9497979316026</v>
      </c>
      <c r="L48" s="6">
        <v>286.5</v>
      </c>
      <c r="M48" s="6">
        <v>688.9497979316026</v>
      </c>
    </row>
    <row x14ac:dyDescent="0.25" r="49" customHeight="1" ht="17.25">
      <c r="A49" s="5">
        <v>306</v>
      </c>
      <c r="B49" s="5">
        <v>985</v>
      </c>
      <c r="C49" s="5">
        <v>1000</v>
      </c>
      <c r="D49" s="6">
        <v>992.4716620639605</v>
      </c>
      <c r="E49" s="6">
        <v>4.330127018922194</v>
      </c>
      <c r="F49" s="6">
        <v>287.5</v>
      </c>
      <c r="G49" s="6">
        <v>684.4716620639605</v>
      </c>
      <c r="H49" s="6">
        <v>4.330127018922194</v>
      </c>
      <c r="I49" s="6">
        <v>0.11547005383792516</v>
      </c>
      <c r="J49" s="6">
        <v>287.5</v>
      </c>
      <c r="K49" s="6">
        <v>684.4716620639605</v>
      </c>
      <c r="L49" s="6">
        <v>287.5</v>
      </c>
      <c r="M49" s="6">
        <v>684.4716620639605</v>
      </c>
    </row>
    <row x14ac:dyDescent="0.25" r="50" customHeight="1" ht="17.25">
      <c r="A50" s="5">
        <v>307</v>
      </c>
      <c r="B50" s="5">
        <v>981</v>
      </c>
      <c r="C50" s="5">
        <v>999</v>
      </c>
      <c r="D50" s="6">
        <v>989.9590900638269</v>
      </c>
      <c r="E50" s="6">
        <v>5.196152422706632</v>
      </c>
      <c r="F50" s="6">
        <v>288.5</v>
      </c>
      <c r="G50" s="6">
        <v>680.9590900638269</v>
      </c>
      <c r="H50" s="6">
        <v>5.196152422706632</v>
      </c>
      <c r="I50" s="6">
        <v>0.11547005383792516</v>
      </c>
      <c r="J50" s="6">
        <v>288.5</v>
      </c>
      <c r="K50" s="6">
        <v>680.9590900638269</v>
      </c>
      <c r="L50" s="6">
        <v>288.5</v>
      </c>
      <c r="M50" s="6">
        <v>680.9590900638269</v>
      </c>
    </row>
    <row x14ac:dyDescent="0.25" r="51" customHeight="1" ht="17.25">
      <c r="A51" s="5">
        <v>308</v>
      </c>
      <c r="B51" s="5">
        <v>975</v>
      </c>
      <c r="C51" s="5">
        <v>992</v>
      </c>
      <c r="D51" s="6">
        <v>983.4632682515397</v>
      </c>
      <c r="E51" s="6">
        <v>4.907477288111819</v>
      </c>
      <c r="F51" s="6">
        <v>289.5</v>
      </c>
      <c r="G51" s="6">
        <v>673.4632682515397</v>
      </c>
      <c r="H51" s="6">
        <v>4.907477288111819</v>
      </c>
      <c r="I51" s="6">
        <v>0.11547005383792516</v>
      </c>
      <c r="J51" s="6">
        <v>289.5</v>
      </c>
      <c r="K51" s="6">
        <v>673.4632682515397</v>
      </c>
      <c r="L51" s="6">
        <v>289.5</v>
      </c>
      <c r="M51" s="6">
        <v>673.4632682515397</v>
      </c>
    </row>
    <row x14ac:dyDescent="0.25" r="52" customHeight="1" ht="17.25">
      <c r="A52" s="5">
        <v>309</v>
      </c>
      <c r="B52" s="5">
        <v>971</v>
      </c>
      <c r="C52" s="5">
        <v>988</v>
      </c>
      <c r="D52" s="6">
        <v>979.4631182438674</v>
      </c>
      <c r="E52" s="6">
        <v>4.907477288111819</v>
      </c>
      <c r="F52" s="6">
        <v>290.5</v>
      </c>
      <c r="G52" s="6">
        <v>668.4631182438674</v>
      </c>
      <c r="H52" s="6">
        <v>4.907477288111819</v>
      </c>
      <c r="I52" s="6">
        <v>0.11547005383792516</v>
      </c>
      <c r="J52" s="6">
        <v>290.5</v>
      </c>
      <c r="K52" s="6">
        <v>668.4631182438674</v>
      </c>
      <c r="L52" s="6">
        <v>290.5</v>
      </c>
      <c r="M52" s="6">
        <v>668.4631182438674</v>
      </c>
    </row>
    <row x14ac:dyDescent="0.25" r="53" customHeight="1" ht="17.25">
      <c r="A53" s="5">
        <v>310</v>
      </c>
      <c r="B53" s="5">
        <v>968</v>
      </c>
      <c r="C53" s="5">
        <v>987</v>
      </c>
      <c r="D53" s="6">
        <v>977.4538352270147</v>
      </c>
      <c r="E53" s="6">
        <v>5.484827557301445</v>
      </c>
      <c r="F53" s="6">
        <v>291.5</v>
      </c>
      <c r="G53" s="6">
        <v>665.4538352270147</v>
      </c>
      <c r="H53" s="6">
        <v>5.484827557301445</v>
      </c>
      <c r="I53" s="6">
        <v>0.11547005383792516</v>
      </c>
      <c r="J53" s="6">
        <v>291.5</v>
      </c>
      <c r="K53" s="6">
        <v>665.4538352270147</v>
      </c>
      <c r="L53" s="6">
        <v>291.5</v>
      </c>
      <c r="M53" s="6">
        <v>665.4538352270147</v>
      </c>
    </row>
    <row x14ac:dyDescent="0.25" r="54" customHeight="1" ht="17.25">
      <c r="A54" s="5">
        <v>311</v>
      </c>
      <c r="B54" s="5">
        <v>965</v>
      </c>
      <c r="C54" s="5">
        <v>974</v>
      </c>
      <c r="D54" s="6">
        <v>969.4895564161585</v>
      </c>
      <c r="E54" s="6">
        <v>2.598076211353316</v>
      </c>
      <c r="F54" s="6">
        <v>292.5</v>
      </c>
      <c r="G54" s="6">
        <v>656.4895564161585</v>
      </c>
      <c r="H54" s="6">
        <v>2.598076211353316</v>
      </c>
      <c r="I54" s="6">
        <v>0.11547005383792516</v>
      </c>
      <c r="J54" s="6">
        <v>292.5</v>
      </c>
      <c r="K54" s="6">
        <v>656.4895564161585</v>
      </c>
      <c r="L54" s="6">
        <v>292.5</v>
      </c>
      <c r="M54" s="6">
        <v>656.4895564161585</v>
      </c>
    </row>
    <row x14ac:dyDescent="0.25" r="55" customHeight="1" ht="17.25">
      <c r="A55" s="5">
        <v>312</v>
      </c>
      <c r="B55" s="5">
        <v>960</v>
      </c>
      <c r="C55" s="5">
        <v>976</v>
      </c>
      <c r="D55" s="6">
        <v>967.9669415842671</v>
      </c>
      <c r="E55" s="6">
        <v>4.618802153517007</v>
      </c>
      <c r="F55" s="6">
        <v>293.5</v>
      </c>
      <c r="G55" s="6">
        <v>653.9669415842671</v>
      </c>
      <c r="H55" s="6">
        <v>4.618802153517007</v>
      </c>
      <c r="I55" s="6">
        <v>0.11547005383792516</v>
      </c>
      <c r="J55" s="6">
        <v>293.5</v>
      </c>
      <c r="K55" s="6">
        <v>653.9669415842671</v>
      </c>
      <c r="L55" s="6">
        <v>293.5</v>
      </c>
      <c r="M55" s="6">
        <v>653.9669415842671</v>
      </c>
    </row>
    <row x14ac:dyDescent="0.25" r="56" customHeight="1" ht="17.25">
      <c r="A56" s="5">
        <v>313</v>
      </c>
      <c r="B56" s="5">
        <v>957</v>
      </c>
      <c r="C56" s="5">
        <v>969</v>
      </c>
      <c r="D56" s="6">
        <v>962.9813082298119</v>
      </c>
      <c r="E56" s="6">
        <v>3.464101615137755</v>
      </c>
      <c r="F56" s="6">
        <v>294.5</v>
      </c>
      <c r="G56" s="6">
        <v>647.9813082298119</v>
      </c>
      <c r="H56" s="6">
        <v>3.464101615137755</v>
      </c>
      <c r="I56" s="6">
        <v>0.11547005383792516</v>
      </c>
      <c r="J56" s="6">
        <v>294.5</v>
      </c>
      <c r="K56" s="6">
        <v>647.9813082298119</v>
      </c>
      <c r="L56" s="6">
        <v>294.5</v>
      </c>
      <c r="M56" s="6">
        <v>647.9813082298119</v>
      </c>
    </row>
    <row x14ac:dyDescent="0.25" r="57" customHeight="1" ht="17.25">
      <c r="A57" s="5">
        <v>314</v>
      </c>
      <c r="B57" s="5">
        <v>955</v>
      </c>
      <c r="C57" s="5">
        <v>967</v>
      </c>
      <c r="D57" s="6">
        <v>960.9812693283881</v>
      </c>
      <c r="E57" s="6">
        <v>3.464101615137755</v>
      </c>
      <c r="F57" s="6">
        <v>295.5</v>
      </c>
      <c r="G57" s="6">
        <v>644.9812693283881</v>
      </c>
      <c r="H57" s="6">
        <v>3.464101615137755</v>
      </c>
      <c r="I57" s="6">
        <v>0.11547005383792516</v>
      </c>
      <c r="J57" s="6">
        <v>295.5</v>
      </c>
      <c r="K57" s="6">
        <v>644.9812693283881</v>
      </c>
      <c r="L57" s="6">
        <v>295.5</v>
      </c>
      <c r="M57" s="6">
        <v>644.9812693283881</v>
      </c>
    </row>
    <row x14ac:dyDescent="0.25" r="58" customHeight="1" ht="17.25">
      <c r="A58" s="5">
        <v>316</v>
      </c>
      <c r="B58" s="5">
        <v>945</v>
      </c>
      <c r="C58" s="5">
        <v>961</v>
      </c>
      <c r="D58" s="6">
        <v>952.9664212342426</v>
      </c>
      <c r="E58" s="6">
        <v>4.618802153517007</v>
      </c>
      <c r="F58" s="6">
        <v>297.5</v>
      </c>
      <c r="G58" s="6">
        <v>634.9664212342426</v>
      </c>
      <c r="H58" s="6">
        <v>4.618802153517007</v>
      </c>
      <c r="I58" s="6">
        <v>0.11547005383792516</v>
      </c>
      <c r="J58" s="6">
        <v>297.5</v>
      </c>
      <c r="K58" s="6">
        <v>634.9664212342426</v>
      </c>
      <c r="L58" s="6">
        <v>297.5</v>
      </c>
      <c r="M58" s="6">
        <v>634.9664212342426</v>
      </c>
    </row>
    <row x14ac:dyDescent="0.25" r="59" customHeight="1" ht="17.25">
      <c r="A59" s="5">
        <v>318</v>
      </c>
      <c r="B59" s="5">
        <v>940</v>
      </c>
      <c r="C59" s="5">
        <v>953</v>
      </c>
      <c r="D59" s="6">
        <v>946.477680666586</v>
      </c>
      <c r="E59" s="6">
        <v>3.7527767497325675</v>
      </c>
      <c r="F59" s="6">
        <v>299.5</v>
      </c>
      <c r="G59" s="6">
        <v>626.477680666586</v>
      </c>
      <c r="H59" s="6">
        <v>3.7527767497325675</v>
      </c>
      <c r="I59" s="6">
        <v>0.11547005383792516</v>
      </c>
      <c r="J59" s="6">
        <v>299.5</v>
      </c>
      <c r="K59" s="6">
        <v>626.477680666586</v>
      </c>
      <c r="L59" s="6">
        <v>299.5</v>
      </c>
      <c r="M59" s="6">
        <v>626.477680666586</v>
      </c>
    </row>
    <row x14ac:dyDescent="0.25" r="60" customHeight="1" ht="17.25">
      <c r="A60" s="5">
        <v>320</v>
      </c>
      <c r="B60" s="5">
        <v>929</v>
      </c>
      <c r="C60" s="5">
        <v>945</v>
      </c>
      <c r="D60" s="6">
        <v>936.9658478301117</v>
      </c>
      <c r="E60" s="6">
        <v>4.618802153517007</v>
      </c>
      <c r="F60" s="6">
        <v>301.5</v>
      </c>
      <c r="G60" s="6">
        <v>614.9658478301117</v>
      </c>
      <c r="H60" s="6">
        <v>4.618802153517007</v>
      </c>
      <c r="I60" s="6">
        <v>0.11547005383792516</v>
      </c>
      <c r="J60" s="6">
        <v>301.5</v>
      </c>
      <c r="K60" s="6">
        <v>614.9658478301117</v>
      </c>
      <c r="L60" s="6">
        <v>301.5</v>
      </c>
      <c r="M60" s="6">
        <v>614.9658478301117</v>
      </c>
    </row>
    <row x14ac:dyDescent="0.25" r="61" customHeight="1" ht="17.25">
      <c r="A61" s="5">
        <v>325</v>
      </c>
      <c r="B61" s="5">
        <v>916</v>
      </c>
      <c r="C61" s="5">
        <v>930</v>
      </c>
      <c r="D61" s="6">
        <v>922.9734557396545</v>
      </c>
      <c r="E61" s="6">
        <v>4.041451884327381</v>
      </c>
      <c r="F61" s="6">
        <v>306.5</v>
      </c>
      <c r="G61" s="6">
        <v>595.9734557396545</v>
      </c>
      <c r="H61" s="6">
        <v>4.041451884327381</v>
      </c>
      <c r="I61" s="6">
        <v>0.11547005383792516</v>
      </c>
      <c r="J61" s="6">
        <v>306.5</v>
      </c>
      <c r="K61" s="6">
        <v>595.9734557396545</v>
      </c>
      <c r="L61" s="6">
        <v>306.5</v>
      </c>
      <c r="M61" s="6">
        <v>595.9734557396545</v>
      </c>
    </row>
    <row x14ac:dyDescent="0.25" r="62" customHeight="1" ht="17.25">
      <c r="A62" s="5">
        <v>330</v>
      </c>
      <c r="B62" s="5">
        <v>906</v>
      </c>
      <c r="C62" s="5">
        <v>915</v>
      </c>
      <c r="D62" s="6">
        <v>910.4888796684999</v>
      </c>
      <c r="E62" s="6">
        <v>2.598076211353316</v>
      </c>
      <c r="F62" s="6">
        <v>311.5</v>
      </c>
      <c r="G62" s="6">
        <v>578.4888796684999</v>
      </c>
      <c r="H62" s="6">
        <v>2.598076211353316</v>
      </c>
      <c r="I62" s="6">
        <v>0.11547005383792516</v>
      </c>
      <c r="J62" s="6">
        <v>311.5</v>
      </c>
      <c r="K62" s="6">
        <v>578.4888796684999</v>
      </c>
      <c r="L62" s="6">
        <v>311.5</v>
      </c>
      <c r="M62" s="6">
        <v>578.4888796684999</v>
      </c>
    </row>
    <row x14ac:dyDescent="0.25" r="63" customHeight="1" ht="17.25">
      <c r="A63" s="5">
        <v>335</v>
      </c>
      <c r="B63" s="5">
        <v>886</v>
      </c>
      <c r="C63" s="3"/>
      <c r="D63" s="5">
        <v>886</v>
      </c>
      <c r="E63" s="6">
        <v>255.76616925100421</v>
      </c>
      <c r="F63" s="6">
        <v>316.5</v>
      </c>
      <c r="G63" s="5">
        <v>549</v>
      </c>
      <c r="H63" s="6">
        <v>255.766169251004</v>
      </c>
      <c r="I63" s="6">
        <v>0.11547005383792516</v>
      </c>
      <c r="J63" s="6">
        <v>316.5</v>
      </c>
      <c r="K63" s="5">
        <v>549</v>
      </c>
      <c r="L63" s="6">
        <v>316.5</v>
      </c>
      <c r="M63" s="5">
        <v>549</v>
      </c>
    </row>
    <row x14ac:dyDescent="0.25" r="64" customHeight="1" ht="17.25">
      <c r="A64" s="5">
        <v>340</v>
      </c>
      <c r="B64" s="5">
        <v>871</v>
      </c>
      <c r="C64" s="3"/>
      <c r="D64" s="5">
        <v>871</v>
      </c>
      <c r="E64" s="6">
        <v>251.43604223208203</v>
      </c>
      <c r="F64" s="6">
        <v>321.5</v>
      </c>
      <c r="G64" s="5">
        <v>529</v>
      </c>
      <c r="H64" s="6">
        <v>251.43604223208203</v>
      </c>
      <c r="I64" s="6">
        <v>0.11547005383792516</v>
      </c>
      <c r="J64" s="6">
        <v>321.5</v>
      </c>
      <c r="K64" s="5">
        <v>529</v>
      </c>
      <c r="L64" s="6">
        <v>321.5</v>
      </c>
      <c r="M64" s="5">
        <v>529</v>
      </c>
    </row>
    <row x14ac:dyDescent="0.25" r="65" customHeight="1" ht="17.25">
      <c r="A65" s="5">
        <v>345</v>
      </c>
      <c r="B65" s="5">
        <v>870</v>
      </c>
      <c r="C65" s="3"/>
      <c r="D65" s="5">
        <v>870</v>
      </c>
      <c r="E65" s="6">
        <v>251.14736709748723</v>
      </c>
      <c r="F65" s="6">
        <v>326.5</v>
      </c>
      <c r="G65" s="5">
        <v>523</v>
      </c>
      <c r="H65" s="6">
        <v>251.14736709748723</v>
      </c>
      <c r="I65" s="6">
        <v>0.11547005383792516</v>
      </c>
      <c r="J65" s="6">
        <v>326.5</v>
      </c>
      <c r="K65" s="5">
        <v>523</v>
      </c>
      <c r="L65" s="6">
        <v>326.5</v>
      </c>
      <c r="M65" s="5">
        <v>523</v>
      </c>
    </row>
    <row x14ac:dyDescent="0.25" r="66" customHeight="1" ht="17.25">
      <c r="A66" s="5">
        <v>350</v>
      </c>
      <c r="B66" s="5">
        <v>864</v>
      </c>
      <c r="C66" s="3"/>
      <c r="D66" s="5">
        <v>864</v>
      </c>
      <c r="E66" s="6">
        <v>249.41531628991834</v>
      </c>
      <c r="F66" s="6">
        <v>331.5</v>
      </c>
      <c r="G66" s="5">
        <v>512</v>
      </c>
      <c r="H66" s="6">
        <v>249.41531628991834</v>
      </c>
      <c r="I66" s="6">
        <v>0.11547005383792516</v>
      </c>
      <c r="J66" s="6">
        <v>331.5</v>
      </c>
      <c r="K66" s="5">
        <v>512</v>
      </c>
      <c r="L66" s="6">
        <v>331.5</v>
      </c>
      <c r="M66" s="5">
        <v>512</v>
      </c>
    </row>
    <row x14ac:dyDescent="0.25" r="67" customHeight="1" ht="17.25">
      <c r="A67" s="5">
        <v>355</v>
      </c>
      <c r="B67" s="5">
        <v>856</v>
      </c>
      <c r="C67" s="3"/>
      <c r="D67" s="5">
        <v>856</v>
      </c>
      <c r="E67" s="6">
        <v>247.10591521315985</v>
      </c>
      <c r="F67" s="6">
        <v>336.5</v>
      </c>
      <c r="G67" s="5">
        <v>499</v>
      </c>
      <c r="H67" s="6">
        <v>247.10591521315985</v>
      </c>
      <c r="I67" s="6">
        <v>0.11547005383792516</v>
      </c>
      <c r="J67" s="6">
        <v>336.5</v>
      </c>
      <c r="K67" s="5">
        <v>499</v>
      </c>
      <c r="L67" s="6">
        <v>336.5</v>
      </c>
      <c r="M67" s="5">
        <v>499</v>
      </c>
    </row>
    <row x14ac:dyDescent="0.25" r="68" customHeight="1" ht="17.25">
      <c r="A68" s="5">
        <v>360</v>
      </c>
      <c r="B68" s="5">
        <v>851</v>
      </c>
      <c r="C68" s="3"/>
      <c r="D68" s="5">
        <v>851</v>
      </c>
      <c r="E68" s="6">
        <v>245.66253954018578</v>
      </c>
      <c r="F68" s="6">
        <v>341.5</v>
      </c>
      <c r="G68" s="5">
        <v>489</v>
      </c>
      <c r="H68" s="6">
        <v>245.66253954018578</v>
      </c>
      <c r="I68" s="6">
        <v>0.11547005383792516</v>
      </c>
      <c r="J68" s="6">
        <v>341.5</v>
      </c>
      <c r="K68" s="5">
        <v>489</v>
      </c>
      <c r="L68" s="6">
        <v>341.5</v>
      </c>
      <c r="M68" s="5">
        <v>489</v>
      </c>
    </row>
    <row x14ac:dyDescent="0.25" r="69" customHeight="1" ht="17.25">
      <c r="A69" s="5">
        <v>365</v>
      </c>
      <c r="B69" s="5">
        <v>846</v>
      </c>
      <c r="C69" s="3"/>
      <c r="D69" s="5">
        <v>846</v>
      </c>
      <c r="E69" s="6">
        <v>244.2191638672117</v>
      </c>
      <c r="F69" s="6">
        <v>346.5</v>
      </c>
      <c r="G69" s="5">
        <v>479</v>
      </c>
      <c r="H69" s="6">
        <v>244.2191638672117</v>
      </c>
      <c r="I69" s="6">
        <v>0.11547005383792516</v>
      </c>
      <c r="J69" s="6">
        <v>346.5</v>
      </c>
      <c r="K69" s="5">
        <v>479</v>
      </c>
      <c r="L69" s="6">
        <v>346.5</v>
      </c>
      <c r="M69" s="5">
        <v>479</v>
      </c>
    </row>
    <row x14ac:dyDescent="0.25" r="70" customHeight="1" ht="17.25">
      <c r="A70" s="5">
        <v>370</v>
      </c>
      <c r="B70" s="5">
        <v>840</v>
      </c>
      <c r="C70" s="3"/>
      <c r="D70" s="5">
        <v>840</v>
      </c>
      <c r="E70" s="6">
        <v>242.48711305964284</v>
      </c>
      <c r="F70" s="6">
        <v>351.5</v>
      </c>
      <c r="G70" s="5">
        <v>468</v>
      </c>
      <c r="H70" s="6">
        <v>242.48711305964284</v>
      </c>
      <c r="I70" s="6">
        <v>0.11547005383792516</v>
      </c>
      <c r="J70" s="6">
        <v>351.5</v>
      </c>
      <c r="K70" s="5">
        <v>468</v>
      </c>
      <c r="L70" s="6">
        <v>351.5</v>
      </c>
      <c r="M70" s="5">
        <v>468</v>
      </c>
    </row>
    <row x14ac:dyDescent="0.25" r="71" customHeight="1" ht="17.25">
      <c r="A71" s="5">
        <v>375</v>
      </c>
      <c r="B71" s="5">
        <v>835</v>
      </c>
      <c r="C71" s="3"/>
      <c r="D71" s="5">
        <v>835</v>
      </c>
      <c r="E71" s="6">
        <v>241.04373738666877</v>
      </c>
      <c r="F71" s="6">
        <v>356.5</v>
      </c>
      <c r="G71" s="5">
        <v>458</v>
      </c>
      <c r="H71" s="6">
        <v>241.04373738666877</v>
      </c>
      <c r="I71" s="6">
        <v>0.11547005383792516</v>
      </c>
      <c r="J71" s="6">
        <v>356.5</v>
      </c>
      <c r="K71" s="5">
        <v>458</v>
      </c>
      <c r="L71" s="6">
        <v>356.5</v>
      </c>
      <c r="M71" s="5">
        <v>458</v>
      </c>
    </row>
    <row x14ac:dyDescent="0.25" r="72" customHeight="1" ht="17.25">
      <c r="A72" s="5">
        <v>380</v>
      </c>
      <c r="B72" s="5">
        <v>833</v>
      </c>
      <c r="C72" s="3"/>
      <c r="D72" s="5">
        <v>833</v>
      </c>
      <c r="E72" s="6">
        <v>240.46638711747914</v>
      </c>
      <c r="F72" s="6">
        <v>361.5</v>
      </c>
      <c r="G72" s="5">
        <v>451</v>
      </c>
      <c r="H72" s="6">
        <v>240.46638711747914</v>
      </c>
      <c r="I72" s="6">
        <v>0.11547005383792516</v>
      </c>
      <c r="J72" s="6">
        <v>361.5</v>
      </c>
      <c r="K72" s="5">
        <v>451</v>
      </c>
      <c r="L72" s="6">
        <v>361.5</v>
      </c>
      <c r="M72" s="5">
        <v>451</v>
      </c>
    </row>
    <row x14ac:dyDescent="0.25" r="73" customHeight="1" ht="17.25">
      <c r="A73" s="5">
        <v>385</v>
      </c>
      <c r="B73" s="5">
        <v>832</v>
      </c>
      <c r="C73" s="3"/>
      <c r="D73" s="5">
        <v>832</v>
      </c>
      <c r="E73" s="6">
        <v>240.17771198288432</v>
      </c>
      <c r="F73" s="6">
        <v>366.5</v>
      </c>
      <c r="G73" s="5">
        <v>445</v>
      </c>
      <c r="H73" s="6">
        <v>240.17771198288432</v>
      </c>
      <c r="I73" s="6">
        <v>0.11547005383792516</v>
      </c>
      <c r="J73" s="6">
        <v>366.5</v>
      </c>
      <c r="K73" s="5">
        <v>445</v>
      </c>
      <c r="L73" s="6">
        <v>366.5</v>
      </c>
      <c r="M73" s="5">
        <v>445</v>
      </c>
    </row>
    <row x14ac:dyDescent="0.25" r="74" customHeight="1" ht="17.25">
      <c r="A74" s="5">
        <v>390</v>
      </c>
      <c r="B74" s="5">
        <v>828</v>
      </c>
      <c r="C74" s="3"/>
      <c r="D74" s="5">
        <v>828</v>
      </c>
      <c r="E74" s="6">
        <v>239.02301144450507</v>
      </c>
      <c r="F74" s="6">
        <v>371.5</v>
      </c>
      <c r="G74" s="5">
        <v>436</v>
      </c>
      <c r="H74" s="6">
        <v>239.02301144450507</v>
      </c>
      <c r="I74" s="6">
        <v>0.11547005383792516</v>
      </c>
      <c r="J74" s="6">
        <v>371.5</v>
      </c>
      <c r="K74" s="5">
        <v>436</v>
      </c>
      <c r="L74" s="6">
        <v>371.5</v>
      </c>
      <c r="M74" s="5">
        <v>436</v>
      </c>
    </row>
    <row x14ac:dyDescent="0.25" r="75" customHeight="1" ht="17.25">
      <c r="A75" s="5">
        <v>395</v>
      </c>
      <c r="B75" s="5">
        <v>825</v>
      </c>
      <c r="C75" s="3"/>
      <c r="D75" s="5">
        <v>825</v>
      </c>
      <c r="E75" s="6">
        <v>238.15698604072065</v>
      </c>
      <c r="F75" s="6">
        <v>376.5</v>
      </c>
      <c r="G75" s="5">
        <v>428</v>
      </c>
      <c r="H75" s="6">
        <v>238.15698604072065</v>
      </c>
      <c r="I75" s="6">
        <v>0.11547005383792516</v>
      </c>
      <c r="J75" s="6">
        <v>376.5</v>
      </c>
      <c r="K75" s="5">
        <v>428</v>
      </c>
      <c r="L75" s="6">
        <v>376.5</v>
      </c>
      <c r="M75" s="5">
        <v>428</v>
      </c>
    </row>
    <row x14ac:dyDescent="0.25" r="76" customHeight="1" ht="17.25">
      <c r="A76" s="5">
        <v>400</v>
      </c>
      <c r="B76" s="5">
        <v>822</v>
      </c>
      <c r="C76" s="3"/>
      <c r="D76" s="5">
        <v>822</v>
      </c>
      <c r="E76" s="6">
        <v>237.2909606369362</v>
      </c>
      <c r="F76" s="6">
        <v>381.5</v>
      </c>
      <c r="G76" s="5">
        <v>420</v>
      </c>
      <c r="H76" s="6">
        <v>237.2909606369362</v>
      </c>
      <c r="I76" s="6">
        <v>0.11547005383792516</v>
      </c>
      <c r="J76" s="6">
        <v>381.5</v>
      </c>
      <c r="K76" s="5">
        <v>420</v>
      </c>
      <c r="L76" s="6">
        <v>381.5</v>
      </c>
      <c r="M76" s="5">
        <v>420</v>
      </c>
    </row>
    <row x14ac:dyDescent="0.25" r="77" customHeight="1" ht="17.25">
      <c r="A77" s="5">
        <v>405</v>
      </c>
      <c r="B77" s="5">
        <v>820</v>
      </c>
      <c r="C77" s="3"/>
      <c r="D77" s="5">
        <v>820</v>
      </c>
      <c r="E77" s="6">
        <v>236.71361036774658</v>
      </c>
      <c r="F77" s="6">
        <v>386.5</v>
      </c>
      <c r="G77" s="5">
        <v>413</v>
      </c>
      <c r="H77" s="6">
        <v>236.71361036774658</v>
      </c>
      <c r="I77" s="6">
        <v>0.11547005383792516</v>
      </c>
      <c r="J77" s="6">
        <v>386.5</v>
      </c>
      <c r="K77" s="5">
        <v>413</v>
      </c>
      <c r="L77" s="6">
        <v>386.5</v>
      </c>
      <c r="M77" s="5">
        <v>413</v>
      </c>
    </row>
    <row x14ac:dyDescent="0.25" r="78" customHeight="1" ht="17.25">
      <c r="A78" s="5">
        <v>410</v>
      </c>
      <c r="B78" s="5">
        <v>816</v>
      </c>
      <c r="C78" s="3"/>
      <c r="D78" s="5">
        <v>816</v>
      </c>
      <c r="E78" s="6">
        <v>235.55890982936734</v>
      </c>
      <c r="F78" s="6">
        <v>391.5</v>
      </c>
      <c r="G78" s="5">
        <v>404</v>
      </c>
      <c r="H78" s="6">
        <v>235.55890982936734</v>
      </c>
      <c r="I78" s="6">
        <v>0.11547005383792516</v>
      </c>
      <c r="J78" s="6">
        <v>391.5</v>
      </c>
      <c r="K78" s="5">
        <v>404</v>
      </c>
      <c r="L78" s="6">
        <v>391.5</v>
      </c>
      <c r="M78" s="5">
        <v>404</v>
      </c>
    </row>
    <row x14ac:dyDescent="0.25" r="79" customHeight="1" ht="17.25">
      <c r="A79" s="5">
        <v>415</v>
      </c>
      <c r="B79" s="5">
        <v>814</v>
      </c>
      <c r="C79" s="3"/>
      <c r="D79" s="5">
        <v>814</v>
      </c>
      <c r="E79" s="6">
        <v>234.9815595601777</v>
      </c>
      <c r="F79" s="6">
        <v>396.5</v>
      </c>
      <c r="G79" s="5">
        <v>397</v>
      </c>
      <c r="H79" s="6">
        <v>234.9815595601777</v>
      </c>
      <c r="I79" s="6">
        <v>0.11547005383792516</v>
      </c>
      <c r="J79" s="6">
        <v>396.5</v>
      </c>
      <c r="K79" s="5">
        <v>397</v>
      </c>
      <c r="L79" s="6">
        <v>396.5</v>
      </c>
      <c r="M79" s="5">
        <v>397</v>
      </c>
    </row>
    <row x14ac:dyDescent="0.25" r="80" customHeight="1" ht="17.25">
      <c r="A80" s="5">
        <v>420</v>
      </c>
      <c r="B80" s="5">
        <v>822</v>
      </c>
      <c r="C80" s="3"/>
      <c r="D80" s="5">
        <v>822</v>
      </c>
      <c r="E80" s="6">
        <v>237.2909606369362</v>
      </c>
      <c r="F80" s="6">
        <v>401.5</v>
      </c>
      <c r="G80" s="5">
        <v>400</v>
      </c>
      <c r="H80" s="6">
        <v>237.2909606369362</v>
      </c>
      <c r="I80" s="6">
        <v>0.11547005383792516</v>
      </c>
      <c r="J80" s="6">
        <v>394.5</v>
      </c>
      <c r="K80" s="5">
        <v>393</v>
      </c>
      <c r="L80" s="6">
        <v>394.5</v>
      </c>
      <c r="M80" s="5">
        <v>393</v>
      </c>
    </row>
    <row x14ac:dyDescent="0.25" r="81" customHeight="1" ht="17.25">
      <c r="A81" s="5">
        <v>425</v>
      </c>
      <c r="B81" s="5">
        <v>825</v>
      </c>
      <c r="C81" s="3"/>
      <c r="D81" s="5">
        <v>825</v>
      </c>
      <c r="E81" s="6">
        <v>238.15698604072065</v>
      </c>
      <c r="F81" s="6">
        <v>406.5</v>
      </c>
      <c r="G81" s="5">
        <v>398</v>
      </c>
      <c r="H81" s="6">
        <v>238.15698604072065</v>
      </c>
      <c r="I81" s="6">
        <v>0.11547005383792516</v>
      </c>
      <c r="J81" s="6">
        <v>399.5</v>
      </c>
      <c r="K81" s="5">
        <v>391</v>
      </c>
      <c r="L81" s="6">
        <v>399.5</v>
      </c>
      <c r="M81" s="5">
        <v>391</v>
      </c>
    </row>
    <row x14ac:dyDescent="0.25" r="82" customHeight="1" ht="17.25">
      <c r="A82" s="5">
        <v>430</v>
      </c>
      <c r="B82" s="5">
        <v>827</v>
      </c>
      <c r="C82" s="3"/>
      <c r="D82" s="5">
        <v>827</v>
      </c>
      <c r="E82" s="6">
        <v>238.73433630991028</v>
      </c>
      <c r="F82" s="6">
        <v>411.5</v>
      </c>
      <c r="G82" s="5">
        <v>395</v>
      </c>
      <c r="H82" s="6">
        <v>238.73433630991028</v>
      </c>
      <c r="I82" s="6">
        <v>0.11547005383792516</v>
      </c>
      <c r="J82" s="6">
        <v>404.5</v>
      </c>
      <c r="K82" s="5">
        <v>388</v>
      </c>
      <c r="L82" s="6">
        <v>404.5</v>
      </c>
      <c r="M82" s="5">
        <v>388</v>
      </c>
    </row>
    <row x14ac:dyDescent="0.25" r="83" customHeight="1" ht="17.25">
      <c r="A83" s="5">
        <v>435</v>
      </c>
      <c r="B83" s="5">
        <v>827</v>
      </c>
      <c r="C83" s="3"/>
      <c r="D83" s="5">
        <v>827</v>
      </c>
      <c r="E83" s="6">
        <v>238.73433630991028</v>
      </c>
      <c r="F83" s="6">
        <v>416.5</v>
      </c>
      <c r="G83" s="5">
        <v>390</v>
      </c>
      <c r="H83" s="6">
        <v>238.73433630991028</v>
      </c>
      <c r="I83" s="6">
        <v>0.11547005383792516</v>
      </c>
      <c r="J83" s="6">
        <v>409.5</v>
      </c>
      <c r="K83" s="5">
        <v>383</v>
      </c>
      <c r="L83" s="6">
        <v>409.5</v>
      </c>
      <c r="M83" s="5">
        <v>383</v>
      </c>
    </row>
    <row x14ac:dyDescent="0.25" r="84" customHeight="1" ht="17.25">
      <c r="A84" s="5">
        <v>440</v>
      </c>
      <c r="B84" s="5">
        <v>829</v>
      </c>
      <c r="C84" s="3"/>
      <c r="D84" s="5">
        <v>829</v>
      </c>
      <c r="E84" s="6">
        <v>239.3116865790999</v>
      </c>
      <c r="F84" s="6">
        <v>421.5</v>
      </c>
      <c r="G84" s="5">
        <v>387</v>
      </c>
      <c r="H84" s="6">
        <v>239.3116865790999</v>
      </c>
      <c r="I84" s="6">
        <v>0.11547005383792516</v>
      </c>
      <c r="J84" s="6">
        <v>414.5</v>
      </c>
      <c r="K84" s="5">
        <v>380</v>
      </c>
      <c r="L84" s="6">
        <v>414.5</v>
      </c>
      <c r="M84" s="5">
        <v>380</v>
      </c>
    </row>
    <row x14ac:dyDescent="0.25" r="85" customHeight="1" ht="17.25">
      <c r="A85" s="5">
        <v>445</v>
      </c>
      <c r="B85" s="5">
        <v>830</v>
      </c>
      <c r="C85" s="3"/>
      <c r="D85" s="5">
        <v>830</v>
      </c>
      <c r="E85" s="6">
        <v>239.6003617136947</v>
      </c>
      <c r="F85" s="6">
        <v>426.5</v>
      </c>
      <c r="G85" s="5">
        <v>383</v>
      </c>
      <c r="H85" s="6">
        <v>239.6003617136947</v>
      </c>
      <c r="I85" s="6">
        <v>0.11547005383792516</v>
      </c>
      <c r="J85" s="6">
        <v>419.5</v>
      </c>
      <c r="K85" s="5">
        <v>376</v>
      </c>
      <c r="L85" s="6">
        <v>419.5</v>
      </c>
      <c r="M85" s="5">
        <v>376</v>
      </c>
    </row>
    <row x14ac:dyDescent="0.25" r="86" customHeight="1" ht="17.25">
      <c r="A86" s="5">
        <v>450</v>
      </c>
      <c r="B86" s="5">
        <v>831</v>
      </c>
      <c r="C86" s="3"/>
      <c r="D86" s="5">
        <v>831</v>
      </c>
      <c r="E86" s="6">
        <v>239.88903684828952</v>
      </c>
      <c r="F86" s="6">
        <v>431.5</v>
      </c>
      <c r="G86" s="5">
        <v>379</v>
      </c>
      <c r="H86" s="6">
        <v>239.88903684828952</v>
      </c>
      <c r="I86" s="6">
        <v>0.11547005383792516</v>
      </c>
      <c r="J86" s="6">
        <v>424.5</v>
      </c>
      <c r="K86" s="5">
        <v>372</v>
      </c>
      <c r="L86" s="6">
        <v>424.5</v>
      </c>
      <c r="M86" s="5">
        <v>372</v>
      </c>
    </row>
    <row x14ac:dyDescent="0.25" r="87" customHeight="1" ht="17.25">
      <c r="A87" s="5">
        <v>460</v>
      </c>
      <c r="B87" s="5">
        <v>832</v>
      </c>
      <c r="C87" s="3"/>
      <c r="D87" s="5">
        <v>832</v>
      </c>
      <c r="E87" s="6">
        <v>240.17771198288432</v>
      </c>
      <c r="F87" s="6">
        <v>441.5</v>
      </c>
      <c r="G87" s="5">
        <v>370</v>
      </c>
      <c r="H87" s="6">
        <v>240.17771198288432</v>
      </c>
      <c r="I87" s="6">
        <v>0.11547005383792516</v>
      </c>
      <c r="J87" s="6">
        <v>434.5</v>
      </c>
      <c r="K87" s="5">
        <v>363</v>
      </c>
      <c r="L87" s="6">
        <v>434.5</v>
      </c>
      <c r="M87" s="5">
        <v>363</v>
      </c>
    </row>
    <row x14ac:dyDescent="0.25" r="88" customHeight="1" ht="17.25">
      <c r="A88" s="5">
        <v>470</v>
      </c>
      <c r="B88" s="5">
        <v>837</v>
      </c>
      <c r="C88" s="3"/>
      <c r="D88" s="5">
        <v>837</v>
      </c>
      <c r="E88" s="6">
        <v>241.6210876558584</v>
      </c>
      <c r="F88" s="6">
        <v>451.5</v>
      </c>
      <c r="G88" s="5">
        <v>365</v>
      </c>
      <c r="H88" s="6">
        <v>241.6210876558584</v>
      </c>
      <c r="I88" s="6">
        <v>0.11547005383792516</v>
      </c>
      <c r="J88" s="6">
        <v>444.5</v>
      </c>
      <c r="K88" s="5">
        <v>358</v>
      </c>
      <c r="L88" s="6">
        <v>444.5</v>
      </c>
      <c r="M88" s="5">
        <v>358</v>
      </c>
    </row>
    <row x14ac:dyDescent="0.25" r="89" customHeight="1" ht="17.25">
      <c r="A89" s="5">
        <v>480</v>
      </c>
      <c r="B89" s="5">
        <v>840</v>
      </c>
      <c r="C89" s="3"/>
      <c r="D89" s="5">
        <v>840</v>
      </c>
      <c r="E89" s="6">
        <v>242.48711305964284</v>
      </c>
      <c r="F89" s="6">
        <v>461.5</v>
      </c>
      <c r="G89" s="5">
        <v>358</v>
      </c>
      <c r="H89" s="6">
        <v>242.48711305964284</v>
      </c>
      <c r="I89" s="6">
        <v>0.11547005383792516</v>
      </c>
      <c r="J89" s="6">
        <v>454.5</v>
      </c>
      <c r="K89" s="5">
        <v>351</v>
      </c>
      <c r="L89" s="6">
        <v>454.5</v>
      </c>
      <c r="M89" s="5">
        <v>351</v>
      </c>
    </row>
    <row x14ac:dyDescent="0.25" r="90" customHeight="1" ht="17.25">
      <c r="A90" s="5">
        <v>490</v>
      </c>
      <c r="B90" s="5">
        <v>835</v>
      </c>
      <c r="C90" s="3"/>
      <c r="D90" s="5">
        <v>835</v>
      </c>
      <c r="E90" s="6">
        <v>241.04373738666877</v>
      </c>
      <c r="F90" s="6">
        <v>471.5</v>
      </c>
      <c r="G90" s="5">
        <v>343</v>
      </c>
      <c r="H90" s="6">
        <v>241.04373738666877</v>
      </c>
      <c r="I90" s="6">
        <v>0.11547005383792516</v>
      </c>
      <c r="J90" s="6">
        <v>464.5</v>
      </c>
      <c r="K90" s="5">
        <v>336</v>
      </c>
      <c r="L90" s="6">
        <v>464.5</v>
      </c>
      <c r="M90" s="5">
        <v>336</v>
      </c>
    </row>
    <row x14ac:dyDescent="0.25" r="91" customHeight="1" ht="17.25">
      <c r="A91" s="5">
        <v>500</v>
      </c>
      <c r="B91" s="5">
        <v>850</v>
      </c>
      <c r="C91" s="3"/>
      <c r="D91" s="5">
        <v>850</v>
      </c>
      <c r="E91" s="6">
        <v>245.37386440559095</v>
      </c>
      <c r="F91" s="6">
        <v>481.5</v>
      </c>
      <c r="G91" s="5">
        <v>348</v>
      </c>
      <c r="H91" s="6">
        <v>245.37386440559095</v>
      </c>
      <c r="I91" s="6">
        <v>0.11547005383792516</v>
      </c>
      <c r="J91" s="6">
        <v>474.5</v>
      </c>
      <c r="K91" s="5">
        <v>341</v>
      </c>
      <c r="L91" s="6">
        <v>474.5</v>
      </c>
      <c r="M91" s="5">
        <v>341</v>
      </c>
    </row>
    <row x14ac:dyDescent="0.25" r="92" customHeight="1" ht="17.25">
      <c r="A92" s="5">
        <v>510</v>
      </c>
      <c r="B92" s="5">
        <v>855</v>
      </c>
      <c r="C92" s="3"/>
      <c r="D92" s="5">
        <v>855</v>
      </c>
      <c r="E92" s="6">
        <v>246.81724007856502</v>
      </c>
      <c r="F92" s="6">
        <v>491.5</v>
      </c>
      <c r="G92" s="5">
        <v>343</v>
      </c>
      <c r="H92" s="6">
        <v>246.81724007856502</v>
      </c>
      <c r="I92" s="6">
        <v>0.11547005383792516</v>
      </c>
      <c r="J92" s="6">
        <v>484.5</v>
      </c>
      <c r="K92" s="5">
        <v>336</v>
      </c>
      <c r="L92" s="6">
        <v>484.5</v>
      </c>
      <c r="M92" s="5">
        <v>336</v>
      </c>
    </row>
    <row x14ac:dyDescent="0.25" r="93" customHeight="1" ht="17.25">
      <c r="A93" s="5">
        <v>520</v>
      </c>
      <c r="B93" s="5">
        <v>860</v>
      </c>
      <c r="C93" s="3"/>
      <c r="D93" s="5">
        <v>860</v>
      </c>
      <c r="E93" s="6">
        <v>248.2606157515391</v>
      </c>
      <c r="F93" s="6">
        <v>501.5</v>
      </c>
      <c r="G93" s="5">
        <v>338</v>
      </c>
      <c r="H93" s="6">
        <v>248.2606157515391</v>
      </c>
      <c r="I93" s="6">
        <v>0.11547005383792516</v>
      </c>
      <c r="J93" s="6">
        <v>494.5</v>
      </c>
      <c r="K93" s="5">
        <v>331</v>
      </c>
      <c r="L93" s="6">
        <v>494.5</v>
      </c>
      <c r="M93" s="5">
        <v>331</v>
      </c>
    </row>
    <row x14ac:dyDescent="0.25" r="94" customHeight="1" ht="17.25">
      <c r="A94" s="5">
        <v>530</v>
      </c>
      <c r="B94" s="5">
        <v>865</v>
      </c>
      <c r="C94" s="3"/>
      <c r="D94" s="5">
        <v>865</v>
      </c>
      <c r="E94" s="6">
        <v>249.70399142451316</v>
      </c>
      <c r="F94" s="6">
        <v>511.5</v>
      </c>
      <c r="G94" s="5">
        <v>333</v>
      </c>
      <c r="H94" s="6">
        <v>249.70399142451316</v>
      </c>
      <c r="I94" s="6">
        <v>0.11547005383792516</v>
      </c>
      <c r="J94" s="6">
        <v>504.5</v>
      </c>
      <c r="K94" s="5">
        <v>326</v>
      </c>
      <c r="L94" s="6">
        <v>504.5</v>
      </c>
      <c r="M94" s="5">
        <v>326</v>
      </c>
    </row>
    <row x14ac:dyDescent="0.25" r="95" customHeight="1" ht="17.25">
      <c r="A95" s="5">
        <v>540</v>
      </c>
      <c r="B95" s="5">
        <v>870</v>
      </c>
      <c r="C95" s="3"/>
      <c r="D95" s="5">
        <v>870</v>
      </c>
      <c r="E95" s="6">
        <v>251.14736709748723</v>
      </c>
      <c r="F95" s="6">
        <v>521.5</v>
      </c>
      <c r="G95" s="5">
        <v>328</v>
      </c>
      <c r="H95" s="6">
        <v>251.14736709748723</v>
      </c>
      <c r="I95" s="6">
        <v>0.11547005383792516</v>
      </c>
      <c r="J95" s="6">
        <v>514.5</v>
      </c>
      <c r="K95" s="5">
        <v>321</v>
      </c>
      <c r="L95" s="6">
        <v>514.5</v>
      </c>
      <c r="M95" s="5">
        <v>321</v>
      </c>
    </row>
    <row x14ac:dyDescent="0.25" r="96" customHeight="1" ht="17.25">
      <c r="A96" s="5">
        <v>550</v>
      </c>
      <c r="B96" s="5">
        <v>875</v>
      </c>
      <c r="C96" s="3"/>
      <c r="D96" s="5">
        <v>875</v>
      </c>
      <c r="E96" s="6">
        <v>252.59074277046128</v>
      </c>
      <c r="F96" s="6">
        <v>531.5</v>
      </c>
      <c r="G96" s="5">
        <v>323</v>
      </c>
      <c r="H96" s="6">
        <v>252.59074277046128</v>
      </c>
      <c r="I96" s="6">
        <v>0.11547005383792516</v>
      </c>
      <c r="J96" s="6">
        <v>524.5</v>
      </c>
      <c r="K96" s="5">
        <v>316</v>
      </c>
      <c r="L96" s="6">
        <v>524.5</v>
      </c>
      <c r="M96" s="5">
        <v>316</v>
      </c>
    </row>
    <row x14ac:dyDescent="0.25" r="97" customHeight="1" ht="17.25">
      <c r="A97" s="5">
        <v>560</v>
      </c>
      <c r="B97" s="5">
        <v>885</v>
      </c>
      <c r="C97" s="3"/>
      <c r="D97" s="5">
        <v>885</v>
      </c>
      <c r="E97" s="6">
        <v>255.47749411640942</v>
      </c>
      <c r="F97" s="6">
        <v>541.5</v>
      </c>
      <c r="G97" s="5">
        <v>323</v>
      </c>
      <c r="H97" s="6">
        <v>255.47749411640942</v>
      </c>
      <c r="I97" s="6">
        <v>0.11547005383792516</v>
      </c>
      <c r="J97" s="6">
        <v>534.5</v>
      </c>
      <c r="K97" s="5">
        <v>316</v>
      </c>
      <c r="L97" s="6">
        <v>534.5</v>
      </c>
      <c r="M97" s="5">
        <v>316</v>
      </c>
    </row>
    <row x14ac:dyDescent="0.25" r="98" customHeight="1" ht="17.25">
      <c r="A98" s="5">
        <v>570</v>
      </c>
      <c r="B98" s="5">
        <v>890</v>
      </c>
      <c r="C98" s="3"/>
      <c r="D98" s="5">
        <v>890</v>
      </c>
      <c r="E98" s="6">
        <v>256.92086978938346</v>
      </c>
      <c r="F98" s="6">
        <v>551.5</v>
      </c>
      <c r="G98" s="5">
        <v>318</v>
      </c>
      <c r="H98" s="6">
        <v>256.92086978938346</v>
      </c>
      <c r="I98" s="6">
        <v>0.11547005383792516</v>
      </c>
      <c r="J98" s="6">
        <v>544.5</v>
      </c>
      <c r="K98" s="5">
        <v>311</v>
      </c>
      <c r="L98" s="6">
        <v>544.5</v>
      </c>
      <c r="M98" s="5">
        <v>311</v>
      </c>
    </row>
    <row x14ac:dyDescent="0.25" r="99" customHeight="1" ht="17.25">
      <c r="A99" s="5">
        <v>580</v>
      </c>
      <c r="B99" s="5">
        <v>897</v>
      </c>
      <c r="C99" s="3"/>
      <c r="D99" s="5">
        <v>897</v>
      </c>
      <c r="E99" s="6">
        <v>258.9415957315472</v>
      </c>
      <c r="F99" s="6">
        <v>561.5</v>
      </c>
      <c r="G99" s="5">
        <v>315</v>
      </c>
      <c r="H99" s="6">
        <v>258.9415957315472</v>
      </c>
      <c r="I99" s="6">
        <v>0.11547005383792516</v>
      </c>
      <c r="J99" s="6">
        <v>554.5</v>
      </c>
      <c r="K99" s="5">
        <v>308</v>
      </c>
      <c r="L99" s="6">
        <v>554.5</v>
      </c>
      <c r="M99" s="5">
        <v>308</v>
      </c>
    </row>
    <row x14ac:dyDescent="0.25" r="100" customHeight="1" ht="17.25">
      <c r="A100" s="5">
        <v>590</v>
      </c>
      <c r="B100" s="5">
        <v>905</v>
      </c>
      <c r="C100" s="3"/>
      <c r="D100" s="5">
        <v>905</v>
      </c>
      <c r="E100" s="6">
        <v>261.2509968083057</v>
      </c>
      <c r="F100" s="6">
        <v>571.5</v>
      </c>
      <c r="G100" s="5">
        <v>313</v>
      </c>
      <c r="H100" s="6">
        <v>261.2509968083057</v>
      </c>
      <c r="I100" s="6">
        <v>0.11547005383792516</v>
      </c>
      <c r="J100" s="6">
        <v>564.5</v>
      </c>
      <c r="K100" s="5">
        <v>306</v>
      </c>
      <c r="L100" s="6">
        <v>564.5</v>
      </c>
      <c r="M100" s="5">
        <v>306</v>
      </c>
    </row>
    <row x14ac:dyDescent="0.25" r="101" customHeight="1" ht="17.25">
      <c r="A101" s="5">
        <v>600</v>
      </c>
      <c r="B101" s="5">
        <v>910</v>
      </c>
      <c r="C101" s="3"/>
      <c r="D101" s="5">
        <v>910</v>
      </c>
      <c r="E101" s="6">
        <v>262.69437248127974</v>
      </c>
      <c r="F101" s="6">
        <v>581.5</v>
      </c>
      <c r="G101" s="5">
        <v>308</v>
      </c>
      <c r="H101" s="6">
        <v>262.69437248127974</v>
      </c>
      <c r="I101" s="6">
        <v>0.11547005383792516</v>
      </c>
      <c r="J101" s="6">
        <v>574.5</v>
      </c>
      <c r="K101" s="5">
        <v>301</v>
      </c>
      <c r="L101" s="6">
        <v>574.5</v>
      </c>
      <c r="M101" s="5">
        <v>301</v>
      </c>
    </row>
    <row x14ac:dyDescent="0.25" r="102" customHeight="1" ht="17.25">
      <c r="A102" s="5">
        <v>620</v>
      </c>
      <c r="B102" s="5">
        <v>925</v>
      </c>
      <c r="C102" s="3"/>
      <c r="D102" s="5">
        <v>925</v>
      </c>
      <c r="E102" s="6">
        <v>267.02449950020196</v>
      </c>
      <c r="F102" s="6">
        <v>601.5</v>
      </c>
      <c r="G102" s="5">
        <v>303</v>
      </c>
      <c r="H102" s="6">
        <v>267.02449950020196</v>
      </c>
      <c r="I102" s="6">
        <v>0.11547005383792516</v>
      </c>
      <c r="J102" s="6">
        <v>594.5</v>
      </c>
      <c r="K102" s="5">
        <v>296</v>
      </c>
      <c r="L102" s="6">
        <v>594.5</v>
      </c>
      <c r="M102" s="5">
        <v>296</v>
      </c>
    </row>
    <row x14ac:dyDescent="0.25" r="103" customHeight="1" ht="17.25">
      <c r="A103" s="5">
        <v>640</v>
      </c>
      <c r="B103" s="5">
        <v>939</v>
      </c>
      <c r="C103" s="3"/>
      <c r="D103" s="5">
        <v>939</v>
      </c>
      <c r="E103" s="6">
        <v>271.0659513845293</v>
      </c>
      <c r="F103" s="6">
        <v>621.5</v>
      </c>
      <c r="G103" s="5">
        <v>297</v>
      </c>
      <c r="H103" s="6">
        <v>271.0659513845293</v>
      </c>
      <c r="I103" s="6">
        <v>0.11547005383792516</v>
      </c>
      <c r="J103" s="6">
        <v>614.5</v>
      </c>
      <c r="K103" s="5">
        <v>290</v>
      </c>
      <c r="L103" s="6">
        <v>614.5</v>
      </c>
      <c r="M103" s="5">
        <v>290</v>
      </c>
    </row>
    <row x14ac:dyDescent="0.25" r="104" customHeight="1" ht="17.25">
      <c r="A104" s="5">
        <v>660</v>
      </c>
      <c r="B104" s="5">
        <v>958</v>
      </c>
      <c r="C104" s="3"/>
      <c r="D104" s="5">
        <v>958</v>
      </c>
      <c r="E104" s="6">
        <v>276.55077894183074</v>
      </c>
      <c r="F104" s="6">
        <v>641.5</v>
      </c>
      <c r="G104" s="5">
        <v>296</v>
      </c>
      <c r="H104" s="6">
        <v>276.55077894183074</v>
      </c>
      <c r="I104" s="6">
        <v>0.11547005383792516</v>
      </c>
      <c r="J104" s="6">
        <v>634.5</v>
      </c>
      <c r="K104" s="5">
        <v>289</v>
      </c>
      <c r="L104" s="6">
        <v>634.5</v>
      </c>
      <c r="M104" s="5">
        <v>289</v>
      </c>
    </row>
    <row x14ac:dyDescent="0.25" r="105" customHeight="1" ht="17.25">
      <c r="A105" s="5">
        <v>680</v>
      </c>
      <c r="B105" s="5">
        <v>972</v>
      </c>
      <c r="C105" s="3"/>
      <c r="D105" s="5">
        <v>972</v>
      </c>
      <c r="E105" s="6">
        <v>280.59223082615813</v>
      </c>
      <c r="F105" s="6">
        <v>661.5</v>
      </c>
      <c r="G105" s="5">
        <v>290</v>
      </c>
      <c r="H105" s="6">
        <v>280.59223082615813</v>
      </c>
      <c r="I105" s="6">
        <v>0.11547005383792516</v>
      </c>
      <c r="J105" s="6">
        <v>654.5</v>
      </c>
      <c r="K105" s="5">
        <v>283</v>
      </c>
      <c r="L105" s="6">
        <v>654.5</v>
      </c>
      <c r="M105" s="5">
        <v>283</v>
      </c>
    </row>
    <row x14ac:dyDescent="0.25" r="106" customHeight="1" ht="17.25">
      <c r="A106" s="5">
        <v>700</v>
      </c>
      <c r="B106" s="5">
        <v>990</v>
      </c>
      <c r="C106" s="3"/>
      <c r="D106" s="5">
        <v>990</v>
      </c>
      <c r="E106" s="6">
        <v>285.78838324886476</v>
      </c>
      <c r="F106" s="6">
        <v>681.5</v>
      </c>
      <c r="G106" s="5">
        <v>288</v>
      </c>
      <c r="H106" s="6">
        <v>285.78838324886476</v>
      </c>
      <c r="I106" s="6">
        <v>0.11547005383792516</v>
      </c>
      <c r="J106" s="6">
        <v>674.5</v>
      </c>
      <c r="K106" s="5">
        <v>281</v>
      </c>
      <c r="L106" s="6">
        <v>674.5</v>
      </c>
      <c r="M106" s="5">
        <v>281</v>
      </c>
    </row>
    <row x14ac:dyDescent="0.25" r="107" customHeight="1" ht="17.25">
      <c r="A107" s="5">
        <v>750</v>
      </c>
      <c r="B107" s="5">
        <v>1030</v>
      </c>
      <c r="C107" s="3"/>
      <c r="D107" s="5">
        <v>1030</v>
      </c>
      <c r="E107" s="6">
        <v>297.33538863265727</v>
      </c>
      <c r="F107" s="6">
        <v>731.5</v>
      </c>
      <c r="G107" s="5">
        <v>278</v>
      </c>
      <c r="H107" s="6">
        <v>297.33538863265727</v>
      </c>
      <c r="I107" s="6">
        <v>0.11547005383792516</v>
      </c>
      <c r="J107" s="6">
        <v>724.5</v>
      </c>
      <c r="K107" s="5">
        <v>271</v>
      </c>
      <c r="L107" s="6">
        <v>724.5</v>
      </c>
      <c r="M107" s="5">
        <v>271</v>
      </c>
    </row>
    <row x14ac:dyDescent="0.25" r="108" customHeight="1" ht="17.25">
      <c r="A108" s="5">
        <v>800</v>
      </c>
      <c r="B108" s="5">
        <v>1073</v>
      </c>
      <c r="C108" s="3"/>
      <c r="D108" s="5">
        <v>1073</v>
      </c>
      <c r="E108" s="6">
        <v>309.74841942023426</v>
      </c>
      <c r="F108" s="6">
        <v>781.5</v>
      </c>
      <c r="G108" s="5">
        <v>271</v>
      </c>
      <c r="H108" s="6">
        <v>309.74841942023426</v>
      </c>
      <c r="I108" s="6">
        <v>0.11547005383792516</v>
      </c>
      <c r="J108" s="6">
        <v>774.5</v>
      </c>
      <c r="K108" s="5">
        <v>264</v>
      </c>
      <c r="L108" s="6">
        <v>774.5</v>
      </c>
      <c r="M108" s="5">
        <v>264</v>
      </c>
    </row>
    <row x14ac:dyDescent="0.25" r="109" customHeight="1" ht="17.25">
      <c r="A109" s="5">
        <v>850</v>
      </c>
      <c r="B109" s="5">
        <v>1118</v>
      </c>
      <c r="C109" s="3"/>
      <c r="D109" s="5">
        <v>1118</v>
      </c>
      <c r="E109" s="6">
        <v>322.73880047700084</v>
      </c>
      <c r="F109" s="6">
        <v>831.5</v>
      </c>
      <c r="G109" s="5">
        <v>266</v>
      </c>
      <c r="H109" s="6">
        <v>322.73880047700084</v>
      </c>
      <c r="I109" s="6">
        <v>0.11547005383792516</v>
      </c>
      <c r="J109" s="6">
        <v>824.5</v>
      </c>
      <c r="K109" s="5">
        <v>259</v>
      </c>
      <c r="L109" s="6">
        <v>824.5</v>
      </c>
      <c r="M109" s="5">
        <v>259</v>
      </c>
    </row>
    <row x14ac:dyDescent="0.25" r="110" customHeight="1" ht="17.25">
      <c r="A110" s="5">
        <v>900</v>
      </c>
      <c r="B110" s="5">
        <v>1164</v>
      </c>
      <c r="C110" s="3"/>
      <c r="D110" s="5">
        <v>1164</v>
      </c>
      <c r="E110" s="6">
        <v>336.01785666836224</v>
      </c>
      <c r="F110" s="6">
        <v>881.5</v>
      </c>
      <c r="G110" s="5">
        <v>262</v>
      </c>
      <c r="H110" s="6">
        <v>336.01785666836224</v>
      </c>
      <c r="I110" s="6">
        <v>0.11547005383792516</v>
      </c>
      <c r="J110" s="6">
        <v>874.5</v>
      </c>
      <c r="K110" s="5">
        <v>255</v>
      </c>
      <c r="L110" s="6">
        <v>874.5</v>
      </c>
      <c r="M110" s="5">
        <v>255</v>
      </c>
    </row>
    <row x14ac:dyDescent="0.25" r="111" customHeight="1" ht="17.25">
      <c r="A111" s="5">
        <v>1000</v>
      </c>
      <c r="B111" s="5">
        <v>1255</v>
      </c>
      <c r="C111" s="3"/>
      <c r="D111" s="5">
        <v>1255</v>
      </c>
      <c r="E111" s="6">
        <v>362.28729391649017</v>
      </c>
      <c r="F111" s="6">
        <v>981.5</v>
      </c>
      <c r="G111" s="5">
        <v>253</v>
      </c>
      <c r="H111" s="6">
        <v>362.28729391649017</v>
      </c>
      <c r="I111" s="6">
        <v>0.11547005383792516</v>
      </c>
      <c r="J111" s="6">
        <v>974.5</v>
      </c>
      <c r="K111" s="5">
        <v>246</v>
      </c>
      <c r="L111" s="6">
        <v>974.5</v>
      </c>
      <c r="M111" s="5">
        <v>246</v>
      </c>
    </row>
    <row x14ac:dyDescent="0.25" r="112" customHeight="1" ht="17.25">
      <c r="A112" s="5">
        <v>1100</v>
      </c>
      <c r="B112" s="5">
        <v>1349</v>
      </c>
      <c r="C112" s="3"/>
      <c r="D112" s="5">
        <v>1349</v>
      </c>
      <c r="E112" s="6">
        <v>389.4227565684026</v>
      </c>
      <c r="F112" s="6">
        <v>1081.5</v>
      </c>
      <c r="G112" s="5">
        <v>247</v>
      </c>
      <c r="H112" s="6">
        <v>389.4227565684026</v>
      </c>
      <c r="I112" s="6">
        <v>0.11547005383792516</v>
      </c>
      <c r="J112" s="6">
        <v>1074.5</v>
      </c>
      <c r="K112" s="5">
        <v>240</v>
      </c>
      <c r="L112" s="6">
        <v>1074.5</v>
      </c>
      <c r="M112" s="5">
        <v>240</v>
      </c>
    </row>
    <row x14ac:dyDescent="0.25" r="113" customHeight="1" ht="17.25">
      <c r="A113" s="5">
        <v>1200</v>
      </c>
      <c r="B113" s="5">
        <v>1445</v>
      </c>
      <c r="C113" s="3"/>
      <c r="D113" s="5">
        <v>1445</v>
      </c>
      <c r="E113" s="6">
        <v>417.13556948950463</v>
      </c>
      <c r="F113" s="6">
        <v>1181.5</v>
      </c>
      <c r="G113" s="5">
        <v>243</v>
      </c>
      <c r="H113" s="6">
        <v>417.13556948950463</v>
      </c>
      <c r="I113" s="6">
        <v>0.11547005383792516</v>
      </c>
      <c r="J113" s="6">
        <v>1174.5</v>
      </c>
      <c r="K113" s="5">
        <v>236</v>
      </c>
      <c r="L113" s="6">
        <v>1174.5</v>
      </c>
      <c r="M113" s="5">
        <v>236</v>
      </c>
    </row>
    <row x14ac:dyDescent="0.25" r="114" customHeight="1" ht="17.25">
      <c r="A114" s="5">
        <v>1300</v>
      </c>
      <c r="B114" s="5">
        <v>1542</v>
      </c>
      <c r="C114" s="3"/>
      <c r="D114" s="5">
        <v>1542</v>
      </c>
      <c r="E114" s="6">
        <v>445.1370575452015</v>
      </c>
      <c r="F114" s="6">
        <v>1281.5</v>
      </c>
      <c r="G114" s="5">
        <v>240</v>
      </c>
      <c r="H114" s="6">
        <v>445.1370575452015</v>
      </c>
      <c r="I114" s="6">
        <v>0.11547005383792516</v>
      </c>
      <c r="J114" s="6">
        <v>1274.5</v>
      </c>
      <c r="K114" s="5">
        <v>233</v>
      </c>
      <c r="L114" s="6">
        <v>1274.5</v>
      </c>
      <c r="M114" s="5">
        <v>233</v>
      </c>
    </row>
    <row x14ac:dyDescent="0.25" r="115" customHeight="1" ht="17.25">
      <c r="A115" s="5">
        <v>1400</v>
      </c>
      <c r="B115" s="5">
        <v>1638</v>
      </c>
      <c r="C115" s="3"/>
      <c r="D115" s="5">
        <v>1638</v>
      </c>
      <c r="E115" s="6">
        <v>472.8498704663035</v>
      </c>
      <c r="F115" s="6">
        <v>1381.5</v>
      </c>
      <c r="G115" s="5">
        <v>236</v>
      </c>
      <c r="H115" s="6">
        <v>472.8498704663035</v>
      </c>
      <c r="I115" s="6">
        <v>0.11547005383792516</v>
      </c>
      <c r="J115" s="6">
        <v>1374.5</v>
      </c>
      <c r="K115" s="5">
        <v>229</v>
      </c>
      <c r="L115" s="6">
        <v>1374.5</v>
      </c>
      <c r="M115" s="5">
        <v>229</v>
      </c>
    </row>
    <row x14ac:dyDescent="0.25" r="116" customHeight="1" ht="17.25">
      <c r="A116" s="5">
        <v>1500</v>
      </c>
      <c r="B116" s="5">
        <v>1736</v>
      </c>
      <c r="C116" s="3"/>
      <c r="D116" s="5">
        <v>1736</v>
      </c>
      <c r="E116" s="6">
        <v>501.14003365659516</v>
      </c>
      <c r="F116" s="6">
        <v>1481.5</v>
      </c>
      <c r="G116" s="5">
        <v>234</v>
      </c>
      <c r="H116" s="6">
        <v>501.14003365659516</v>
      </c>
      <c r="I116" s="6">
        <v>0.11547005383792516</v>
      </c>
      <c r="J116" s="6">
        <v>1474.5</v>
      </c>
      <c r="K116" s="5">
        <v>227</v>
      </c>
      <c r="L116" s="6">
        <v>1474.5</v>
      </c>
      <c r="M116" s="5">
        <v>227</v>
      </c>
    </row>
    <row x14ac:dyDescent="0.25" r="117" customHeight="1" ht="17.25">
      <c r="A117" s="5">
        <v>1650</v>
      </c>
      <c r="B117" s="5">
        <v>1882</v>
      </c>
      <c r="C117" s="3"/>
      <c r="D117" s="5">
        <v>1882</v>
      </c>
      <c r="E117" s="6">
        <v>543.2866033074379</v>
      </c>
      <c r="F117" s="6">
        <v>1631.5</v>
      </c>
      <c r="G117" s="5">
        <v>230</v>
      </c>
      <c r="H117" s="6">
        <v>543.2866033074379</v>
      </c>
      <c r="I117" s="6">
        <v>0.11547005383792516</v>
      </c>
      <c r="J117" s="6">
        <v>1624.5</v>
      </c>
      <c r="K117" s="5">
        <v>223</v>
      </c>
      <c r="L117" s="6">
        <v>1624.5</v>
      </c>
      <c r="M117" s="5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0"/>
  <sheetViews>
    <sheetView workbookViewId="0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7.25">
      <c r="A2" s="4">
        <v>270</v>
      </c>
      <c r="B2" s="2"/>
      <c r="C2" s="2"/>
      <c r="D2" s="5">
        <f>B2+2*E2</f>
      </c>
      <c r="E2" s="6">
        <v>1975</v>
      </c>
      <c r="F2" s="6">
        <f>IF(C2=0, Parametri!$D$8, ABS(B2-C2)/(2*SQRT(3)))</f>
      </c>
      <c r="G2" s="6">
        <f>(A2-335)+135.8+(Parametri!$A$5/2)</f>
      </c>
      <c r="H2" s="6">
        <f>(E2-192)-('Dati (2)'!A2-Parametri!$A$11)+Parametri!$A$2</f>
      </c>
      <c r="I2" s="6">
        <f>F2</f>
      </c>
      <c r="J2" s="6">
        <f>Parametri!$D$8</f>
      </c>
    </row>
    <row x14ac:dyDescent="0.25" r="3" customHeight="1" ht="17.25">
      <c r="A3" s="4">
        <f>A2+1</f>
      </c>
      <c r="B3" s="2"/>
      <c r="C3" s="2"/>
      <c r="D3" s="5">
        <f>B3+2*E3</f>
      </c>
      <c r="E3" s="6">
        <v>1975</v>
      </c>
      <c r="F3" s="6">
        <f>IF(C3=0, Parametri!$D$8, ABS(B3-C3)/(2*SQRT(3)))</f>
      </c>
      <c r="G3" s="6">
        <f>(A3-335)+135.8+(Parametri!$A$5/2)</f>
      </c>
      <c r="H3" s="6">
        <f>(E3-192)-('Dati (2)'!A3-Parametri!$A$11)+Parametri!$A$2</f>
      </c>
      <c r="I3" s="6">
        <f>F3</f>
      </c>
      <c r="J3" s="6">
        <f>Parametri!$D$8</f>
      </c>
    </row>
    <row x14ac:dyDescent="0.25" r="4" customHeight="1" ht="17.25">
      <c r="A4" s="4">
        <f>A3+1</f>
      </c>
      <c r="B4" s="2"/>
      <c r="C4" s="2"/>
      <c r="D4" s="5">
        <f>B4+2*E4</f>
      </c>
      <c r="E4" s="6">
        <v>1912</v>
      </c>
      <c r="F4" s="6">
        <f>IF(C4=0, Parametri!$D$8, ABS(B4-C4)/(2*SQRT(3)))</f>
      </c>
      <c r="G4" s="6">
        <f>(A4-335)+135.8+(Parametri!$A$5/2)</f>
      </c>
      <c r="H4" s="6">
        <f>(E4-192)-('Dati (2)'!A4-Parametri!$A$11)+Parametri!$A$2</f>
      </c>
      <c r="I4" s="6">
        <f>F4</f>
      </c>
      <c r="J4" s="6">
        <f>Parametri!$D$8</f>
      </c>
    </row>
    <row x14ac:dyDescent="0.25" r="5" customHeight="1" ht="17.25">
      <c r="A5" s="4">
        <f>A4+1</f>
      </c>
      <c r="B5" s="2"/>
      <c r="C5" s="2"/>
      <c r="D5" s="5">
        <f>B5+2*E5</f>
      </c>
      <c r="E5" s="6">
        <v>1893</v>
      </c>
      <c r="F5" s="6">
        <f>IF(C5=0, Parametri!$D$8, ABS(B5-C5)/(2*SQRT(3)))</f>
      </c>
      <c r="G5" s="6">
        <f>(A5-335)+135.8+(Parametri!$A$5/2)</f>
      </c>
      <c r="H5" s="6">
        <f>(E5-192)-('Dati (2)'!A5-Parametri!$A$11)+Parametri!$A$2</f>
      </c>
      <c r="I5" s="6">
        <f>F5</f>
      </c>
      <c r="J5" s="6">
        <f>Parametri!$D$8</f>
      </c>
    </row>
    <row x14ac:dyDescent="0.25" r="6" customHeight="1" ht="17.25">
      <c r="A6" s="4">
        <f>A5+1</f>
      </c>
      <c r="B6" s="2"/>
      <c r="C6" s="2"/>
      <c r="D6" s="5">
        <f>B6+2*E6</f>
      </c>
      <c r="E6" s="6">
        <v>1817</v>
      </c>
      <c r="F6" s="6">
        <f>IF(C6=0, Parametri!$D$8, ABS(B6-C6)/(2*SQRT(3)))</f>
      </c>
      <c r="G6" s="6">
        <f>(A6-335)+135.8+(Parametri!$A$5/2)</f>
      </c>
      <c r="H6" s="6">
        <f>(E6-192)-('Dati (2)'!A6-Parametri!$A$11)+Parametri!$A$2</f>
      </c>
      <c r="I6" s="6">
        <f>F6</f>
      </c>
      <c r="J6" s="6">
        <f>Parametri!$D$8</f>
      </c>
    </row>
    <row x14ac:dyDescent="0.25" r="7" customHeight="1" ht="17.25">
      <c r="A7" s="4">
        <f>A6+1</f>
      </c>
      <c r="B7" s="2"/>
      <c r="C7" s="2"/>
      <c r="D7" s="5">
        <f>B7+2*E7</f>
      </c>
      <c r="E7" s="6">
        <v>1783</v>
      </c>
      <c r="F7" s="6">
        <f>IF(C7=0, Parametri!$D$8, ABS(B7-C7)/(2*SQRT(3)))</f>
      </c>
      <c r="G7" s="6">
        <f>(A7-335)+135.8+(Parametri!$A$5/2)</f>
      </c>
      <c r="H7" s="6">
        <f>(E7-192)-('Dati (2)'!A7-Parametri!$A$11)+Parametri!$A$2</f>
      </c>
      <c r="I7" s="6">
        <f>F7</f>
      </c>
      <c r="J7" s="6">
        <f>Parametri!$D$8</f>
      </c>
    </row>
    <row x14ac:dyDescent="0.25" r="8" customHeight="1" ht="17.25">
      <c r="A8" s="4">
        <f>A7+1</f>
      </c>
      <c r="B8" s="2"/>
      <c r="C8" s="2"/>
      <c r="D8" s="5">
        <f>B8+2*E8</f>
      </c>
      <c r="E8" s="6">
        <v>1723.5</v>
      </c>
      <c r="F8" s="6">
        <f>IF(C8=0, Parametri!$D$8, ABS(B8-C8)/(2*SQRT(3)))</f>
      </c>
      <c r="G8" s="6">
        <f>(A8-335)+135.8+(Parametri!$A$5/2)</f>
      </c>
      <c r="H8" s="6">
        <f>(E8-192)-('Dati (2)'!A8-Parametri!$A$11)+Parametri!$A$2</f>
      </c>
      <c r="I8" s="6">
        <f>F8</f>
      </c>
      <c r="J8" s="6">
        <f>Parametri!$D$8</f>
      </c>
    </row>
    <row x14ac:dyDescent="0.25" r="9" customHeight="1" ht="17.25">
      <c r="A9" s="4">
        <f>A8+1</f>
      </c>
      <c r="B9" s="2"/>
      <c r="C9" s="2"/>
      <c r="D9" s="5">
        <f>B9+2*E9</f>
      </c>
      <c r="E9" s="6">
        <v>1676</v>
      </c>
      <c r="F9" s="6">
        <f>IF(C9=0, Parametri!$D$8, ABS(B9-C9)/(2*SQRT(3)))</f>
      </c>
      <c r="G9" s="6">
        <f>(A9-335)+135.8+(Parametri!$A$5/2)</f>
      </c>
      <c r="H9" s="6">
        <f>(E9-192)-('Dati (2)'!A9-Parametri!$A$11)+Parametri!$A$2</f>
      </c>
      <c r="I9" s="6">
        <f>F9</f>
      </c>
      <c r="J9" s="6">
        <f>Parametri!$D$8</f>
      </c>
    </row>
    <row x14ac:dyDescent="0.25" r="10" customHeight="1" ht="17.25">
      <c r="A10" s="4">
        <f>A9+1</f>
      </c>
      <c r="B10" s="2"/>
      <c r="C10" s="2"/>
      <c r="D10" s="5">
        <f>B10+2*E10</f>
      </c>
      <c r="E10" s="6">
        <v>1660</v>
      </c>
      <c r="F10" s="6">
        <f>IF(C10=0, Parametri!$D$8, ABS(B10-C10)/(2*SQRT(3)))</f>
      </c>
      <c r="G10" s="6">
        <f>(A10-335)+135.8+(Parametri!$A$5/2)</f>
      </c>
      <c r="H10" s="6">
        <f>(E10-192)-('Dati (2)'!A10-Parametri!$A$11)+Parametri!$A$2</f>
      </c>
      <c r="I10" s="6">
        <f>F10</f>
      </c>
      <c r="J10" s="6">
        <f>Parametri!$D$8</f>
      </c>
    </row>
    <row x14ac:dyDescent="0.25" r="11" customHeight="1" ht="17.25">
      <c r="A11" s="4">
        <f>A10+1</f>
      </c>
      <c r="B11" s="2"/>
      <c r="C11" s="2"/>
      <c r="D11" s="5">
        <f>B11+2*E11</f>
      </c>
      <c r="E11" s="6">
        <v>1615.5</v>
      </c>
      <c r="F11" s="6">
        <f>IF(C11=0, Parametri!$D$8, ABS(B11-C11)/(2*SQRT(3)))</f>
      </c>
      <c r="G11" s="6">
        <f>(A11-335)+135.8+(Parametri!$A$5/2)</f>
      </c>
      <c r="H11" s="6">
        <f>(E11-192)-('Dati (2)'!A11-Parametri!$A$11)+Parametri!$A$2</f>
      </c>
      <c r="I11" s="6">
        <f>F11</f>
      </c>
      <c r="J11" s="6">
        <f>Parametri!$D$8</f>
      </c>
    </row>
    <row x14ac:dyDescent="0.25" r="12" customHeight="1" ht="17.25">
      <c r="A12" s="4">
        <f>A11+1</f>
      </c>
      <c r="B12" s="2"/>
      <c r="C12" s="2"/>
      <c r="D12" s="5">
        <f>B12+2*E12</f>
      </c>
      <c r="E12" s="6">
        <v>1581.5</v>
      </c>
      <c r="F12" s="6">
        <f>IF(C12=0, Parametri!$D$8, ABS(B12-C12)/(2*SQRT(3)))</f>
      </c>
      <c r="G12" s="6">
        <f>(A12-335)+135.8+(Parametri!$A$5/2)</f>
      </c>
      <c r="H12" s="6">
        <f>(E12-192)-('Dati (2)'!A12-Parametri!$A$11)+Parametri!$A$2</f>
      </c>
      <c r="I12" s="6">
        <f>F12</f>
      </c>
      <c r="J12" s="6">
        <f>Parametri!$D$8</f>
      </c>
    </row>
    <row x14ac:dyDescent="0.25" r="13" customHeight="1" ht="17.25">
      <c r="A13" s="4">
        <f>A12+1</f>
      </c>
      <c r="B13" s="2"/>
      <c r="C13" s="2"/>
      <c r="D13" s="5">
        <f>B13+2*E13</f>
      </c>
      <c r="E13" s="6">
        <v>1561</v>
      </c>
      <c r="F13" s="6">
        <f>IF(C13=0, Parametri!$D$8, ABS(B13-C13)/(2*SQRT(3)))</f>
      </c>
      <c r="G13" s="6">
        <f>(A13-335)+135.8+(Parametri!$A$5/2)</f>
      </c>
      <c r="H13" s="6">
        <f>(E13-192)-('Dati (2)'!A13-Parametri!$A$11)+Parametri!$A$2</f>
      </c>
      <c r="I13" s="6">
        <f>F13</f>
      </c>
      <c r="J13" s="6">
        <f>Parametri!$D$8</f>
      </c>
    </row>
    <row x14ac:dyDescent="0.25" r="14" customHeight="1" ht="17.25">
      <c r="A14" s="4">
        <f>A13+1</f>
      </c>
      <c r="B14" s="2"/>
      <c r="C14" s="2"/>
      <c r="D14" s="5">
        <f>B14+2*E14</f>
      </c>
      <c r="E14" s="6">
        <v>1533.5</v>
      </c>
      <c r="F14" s="6">
        <f>IF(C14=0, Parametri!$D$8, ABS(B14-C14)/(2*SQRT(3)))</f>
      </c>
      <c r="G14" s="6">
        <f>(A14-335)+135.8+(Parametri!$A$5/2)</f>
      </c>
      <c r="H14" s="6">
        <f>(E14-192)-('Dati (2)'!A14-Parametri!$A$11)+Parametri!$A$2</f>
      </c>
      <c r="I14" s="6">
        <f>F14</f>
      </c>
      <c r="J14" s="6">
        <f>Parametri!$D$8</f>
      </c>
    </row>
    <row x14ac:dyDescent="0.25" r="15" customHeight="1" ht="17.25">
      <c r="A15" s="4">
        <f>A14+1</f>
      </c>
      <c r="B15" s="2"/>
      <c r="C15" s="2"/>
      <c r="D15" s="5">
        <f>B15+2*E15</f>
      </c>
      <c r="E15" s="6">
        <v>1510.5</v>
      </c>
      <c r="F15" s="6">
        <f>IF(C15=0, Parametri!$D$8, ABS(B15-C15)/(2*SQRT(3)))</f>
      </c>
      <c r="G15" s="6">
        <f>(A15-335)+135.8+(Parametri!$A$5/2)</f>
      </c>
      <c r="H15" s="6">
        <f>(E15-192)-('Dati (2)'!A15-Parametri!$A$11)+Parametri!$A$2</f>
      </c>
      <c r="I15" s="6">
        <f>F15</f>
      </c>
      <c r="J15" s="6">
        <f>Parametri!$D$8</f>
      </c>
    </row>
    <row x14ac:dyDescent="0.25" r="16" customHeight="1" ht="17.25">
      <c r="A16" s="4">
        <f>A15+1</f>
      </c>
      <c r="B16" s="2"/>
      <c r="C16" s="2"/>
      <c r="D16" s="5">
        <f>B16+2*E16</f>
      </c>
      <c r="E16" s="6">
        <v>1486.5</v>
      </c>
      <c r="F16" s="6">
        <f>IF(C16=0, Parametri!$D$8, ABS(B16-C16)/(2*SQRT(3)))</f>
      </c>
      <c r="G16" s="6">
        <f>(A16-335)+135.8+(Parametri!$A$5/2)</f>
      </c>
      <c r="H16" s="6">
        <f>(E16-192)-('Dati (2)'!A16-Parametri!$A$11)+Parametri!$A$2</f>
      </c>
      <c r="I16" s="6">
        <f>F16</f>
      </c>
      <c r="J16" s="6">
        <f>Parametri!$D$8</f>
      </c>
    </row>
    <row x14ac:dyDescent="0.25" r="17" customHeight="1" ht="17.25">
      <c r="A17" s="4">
        <f>A16+1</f>
      </c>
      <c r="B17" s="2"/>
      <c r="C17" s="2"/>
      <c r="D17" s="5">
        <f>B17+2*E17</f>
      </c>
      <c r="E17" s="6">
        <v>1462</v>
      </c>
      <c r="F17" s="6">
        <f>IF(C17=0, Parametri!$D$8, ABS(B17-C17)/(2*SQRT(3)))</f>
      </c>
      <c r="G17" s="6">
        <f>(A17-335)+135.8+(Parametri!$A$5/2)</f>
      </c>
      <c r="H17" s="6">
        <f>(E17-192)-('Dati (2)'!A17-Parametri!$A$11)+Parametri!$A$2</f>
      </c>
      <c r="I17" s="6">
        <f>F17</f>
      </c>
      <c r="J17" s="6">
        <f>Parametri!$D$8</f>
      </c>
    </row>
    <row x14ac:dyDescent="0.25" r="18" customHeight="1" ht="17.25">
      <c r="A18" s="4">
        <f>A17+1</f>
      </c>
      <c r="B18" s="2"/>
      <c r="C18" s="2"/>
      <c r="D18" s="5">
        <f>B18+2*E18</f>
      </c>
      <c r="E18" s="6">
        <v>1442.5</v>
      </c>
      <c r="F18" s="6">
        <f>IF(C18=0, Parametri!$D$8, ABS(B18-C18)/(2*SQRT(3)))</f>
      </c>
      <c r="G18" s="6">
        <f>(A18-335)+135.8+(Parametri!$A$5/2)</f>
      </c>
      <c r="H18" s="6">
        <f>(E18-192)-('Dati (2)'!A18-Parametri!$A$11)+Parametri!$A$2</f>
      </c>
      <c r="I18" s="6">
        <f>F18</f>
      </c>
      <c r="J18" s="6">
        <f>Parametri!$D$8</f>
      </c>
    </row>
    <row x14ac:dyDescent="0.25" r="19" customHeight="1" ht="17.25">
      <c r="A19" s="4">
        <f>A18+1</f>
      </c>
      <c r="B19" s="2"/>
      <c r="C19" s="2"/>
      <c r="D19" s="5">
        <f>B19+2*E19</f>
      </c>
      <c r="E19" s="6">
        <v>1421</v>
      </c>
      <c r="F19" s="6">
        <f>IF(C19=0, Parametri!$D$8, ABS(B19-C19)/(2*SQRT(3)))</f>
      </c>
      <c r="G19" s="6">
        <f>(A19-335)+135.8+(Parametri!$A$5/2)</f>
      </c>
      <c r="H19" s="6">
        <f>(E19-192)-('Dati (2)'!A19-Parametri!$A$11)+Parametri!$A$2</f>
      </c>
      <c r="I19" s="6">
        <f>F19</f>
      </c>
      <c r="J19" s="6">
        <f>Parametri!$D$8</f>
      </c>
    </row>
    <row x14ac:dyDescent="0.25" r="20" customHeight="1" ht="17.25">
      <c r="A20" s="4">
        <f>A19+1</f>
      </c>
      <c r="B20" s="2"/>
      <c r="C20" s="2"/>
      <c r="D20" s="5">
        <f>B20+2*E20</f>
      </c>
      <c r="E20" s="6">
        <v>1408.5</v>
      </c>
      <c r="F20" s="6">
        <f>IF(C20=0, Parametri!$D$8, ABS(B20-C20)/(2*SQRT(3)))</f>
      </c>
      <c r="G20" s="6">
        <f>(A20-335)+135.8+(Parametri!$A$5/2)</f>
      </c>
      <c r="H20" s="6">
        <f>(E20-192)-('Dati (2)'!A20-Parametri!$A$11)+Parametri!$A$2</f>
      </c>
      <c r="I20" s="6">
        <f>F20</f>
      </c>
      <c r="J20" s="6">
        <f>Parametri!$D$8</f>
      </c>
    </row>
    <row x14ac:dyDescent="0.25" r="21" customHeight="1" ht="17.25">
      <c r="A21" s="4">
        <f>A20+1</f>
      </c>
      <c r="B21" s="2"/>
      <c r="C21" s="2"/>
      <c r="D21" s="5">
        <f>B21+2*E21</f>
      </c>
      <c r="E21" s="6">
        <v>1380</v>
      </c>
      <c r="F21" s="6">
        <f>IF(C21=0, Parametri!$D$8, ABS(B21-C21)/(2*SQRT(3)))</f>
      </c>
      <c r="G21" s="6">
        <f>(A21-335)+135.8+(Parametri!$A$5/2)</f>
      </c>
      <c r="H21" s="6">
        <f>(E21-192)-('Dati (2)'!A21-Parametri!$A$11)+Parametri!$A$2</f>
      </c>
      <c r="I21" s="6">
        <f>F21</f>
      </c>
      <c r="J21" s="6">
        <f>Parametri!$D$8</f>
      </c>
    </row>
    <row x14ac:dyDescent="0.25" r="22" customHeight="1" ht="17.25">
      <c r="A22" s="4">
        <f>A21+1</f>
      </c>
      <c r="B22" s="2"/>
      <c r="C22" s="2"/>
      <c r="D22" s="5">
        <f>B22+2*E22</f>
      </c>
      <c r="E22" s="6">
        <v>1373.5</v>
      </c>
      <c r="F22" s="6">
        <f>IF(C22=0, Parametri!$D$8, ABS(B22-C22)/(2*SQRT(3)))</f>
      </c>
      <c r="G22" s="6">
        <f>(A22-335)+135.8+(Parametri!$A$5/2)</f>
      </c>
      <c r="H22" s="6">
        <f>(E22-192)-('Dati (2)'!A22-Parametri!$A$11)+Parametri!$A$2</f>
      </c>
      <c r="I22" s="6">
        <f>F22</f>
      </c>
      <c r="J22" s="6">
        <f>Parametri!$D$8</f>
      </c>
    </row>
    <row x14ac:dyDescent="0.25" r="23" customHeight="1" ht="17.25">
      <c r="A23" s="4">
        <f>A22+1</f>
      </c>
      <c r="B23" s="2"/>
      <c r="C23" s="2"/>
      <c r="D23" s="5">
        <f>B23+2*E23</f>
      </c>
      <c r="E23" s="6">
        <v>1349</v>
      </c>
      <c r="F23" s="6">
        <f>IF(C23=0, Parametri!$D$8, ABS(B23-C23)/(2*SQRT(3)))</f>
      </c>
      <c r="G23" s="6">
        <f>(A23-335)+135.8+(Parametri!$A$5/2)</f>
      </c>
      <c r="H23" s="6">
        <f>(E23-192)-('Dati (2)'!A23-Parametri!$A$11)+Parametri!$A$2</f>
      </c>
      <c r="I23" s="6">
        <f>F23</f>
      </c>
      <c r="J23" s="6">
        <f>Parametri!$D$8</f>
      </c>
    </row>
    <row x14ac:dyDescent="0.25" r="24" customHeight="1" ht="17.25">
      <c r="A24" s="4">
        <f>A23+1</f>
      </c>
      <c r="B24" s="2"/>
      <c r="C24" s="2"/>
      <c r="D24" s="5">
        <f>B24+2*E24</f>
      </c>
      <c r="E24" s="6">
        <v>1333.5</v>
      </c>
      <c r="F24" s="6">
        <f>IF(C24=0, Parametri!$D$8, ABS(B24-C24)/(2*SQRT(3)))</f>
      </c>
      <c r="G24" s="6">
        <f>(A24-335)+135.8+(Parametri!$A$5/2)</f>
      </c>
      <c r="H24" s="6">
        <f>(E24-192)-('Dati (2)'!A24-Parametri!$A$11)+Parametri!$A$2</f>
      </c>
      <c r="I24" s="6">
        <f>F24</f>
      </c>
      <c r="J24" s="6">
        <f>Parametri!$D$8</f>
      </c>
    </row>
    <row x14ac:dyDescent="0.25" r="25" customHeight="1" ht="17.25">
      <c r="A25" s="4">
        <f>A24+1</f>
      </c>
      <c r="B25" s="2"/>
      <c r="C25" s="2"/>
      <c r="D25" s="5">
        <f>B25+2*E25</f>
      </c>
      <c r="E25" s="6">
        <v>1312.5</v>
      </c>
      <c r="F25" s="6">
        <f>IF(C25=0, Parametri!$D$8, ABS(B25-C25)/(2*SQRT(3)))</f>
      </c>
      <c r="G25" s="6">
        <f>(A25-335)+135.8+(Parametri!$A$5/2)</f>
      </c>
      <c r="H25" s="6">
        <f>(E25-192)-('Dati (2)'!A25-Parametri!$A$11)+Parametri!$A$2</f>
      </c>
      <c r="I25" s="6">
        <f>F25</f>
      </c>
      <c r="J25" s="6">
        <f>Parametri!$D$8</f>
      </c>
    </row>
    <row x14ac:dyDescent="0.25" r="26" customHeight="1" ht="17.25">
      <c r="A26" s="4">
        <f>A25+1</f>
      </c>
      <c r="B26" s="2"/>
      <c r="C26" s="2"/>
      <c r="D26" s="5">
        <f>B26+2*E26</f>
      </c>
      <c r="E26" s="6">
        <v>1304</v>
      </c>
      <c r="F26" s="6">
        <f>IF(C26=0, Parametri!$D$8, ABS(B26-C26)/(2*SQRT(3)))</f>
      </c>
      <c r="G26" s="6">
        <f>(A26-335)+135.8+(Parametri!$A$5/2)</f>
      </c>
      <c r="H26" s="6">
        <f>(E26-192)-('Dati (2)'!A26-Parametri!$A$11)+Parametri!$A$2</f>
      </c>
      <c r="I26" s="6">
        <f>F26</f>
      </c>
      <c r="J26" s="6">
        <f>Parametri!$D$8</f>
      </c>
    </row>
    <row x14ac:dyDescent="0.25" r="27" customHeight="1" ht="17.25">
      <c r="A27" s="4">
        <f>A26+1</f>
      </c>
      <c r="B27" s="2"/>
      <c r="C27" s="2"/>
      <c r="D27" s="5">
        <f>B27+2*E27</f>
      </c>
      <c r="E27" s="6">
        <v>1293</v>
      </c>
      <c r="F27" s="6">
        <f>IF(C27=0, Parametri!$D$8, ABS(B27-C27)/(2*SQRT(3)))</f>
      </c>
      <c r="G27" s="6">
        <f>(A27-335)+135.8+(Parametri!$A$5/2)</f>
      </c>
      <c r="H27" s="6">
        <f>(E27-192)-('Dati (2)'!A27-Parametri!$A$11)+Parametri!$A$2</f>
      </c>
      <c r="I27" s="6">
        <f>F27</f>
      </c>
      <c r="J27" s="6">
        <f>Parametri!$D$8</f>
      </c>
    </row>
    <row x14ac:dyDescent="0.25" r="28" customHeight="1" ht="17.25">
      <c r="A28" s="4">
        <f>A27+1</f>
      </c>
      <c r="B28" s="2"/>
      <c r="C28" s="2"/>
      <c r="D28" s="5">
        <f>B28+2*E28</f>
      </c>
      <c r="E28" s="6">
        <v>1274</v>
      </c>
      <c r="F28" s="6">
        <f>IF(C28=0, Parametri!$D$8, ABS(B28-C28)/(2*SQRT(3)))</f>
      </c>
      <c r="G28" s="6">
        <f>(A28-335)+135.8+(Parametri!$A$5/2)</f>
      </c>
      <c r="H28" s="6">
        <f>(E28-192)-('Dati (2)'!A28-Parametri!$A$11)+Parametri!$A$2</f>
      </c>
      <c r="I28" s="6">
        <f>F28</f>
      </c>
      <c r="J28" s="6">
        <f>Parametri!$D$8</f>
      </c>
    </row>
    <row x14ac:dyDescent="0.25" r="29" customHeight="1" ht="17.25">
      <c r="A29" s="4">
        <f>A28+1</f>
      </c>
      <c r="B29" s="2"/>
      <c r="C29" s="2"/>
      <c r="D29" s="5">
        <f>B29+2*E29</f>
      </c>
      <c r="E29" s="6">
        <v>1260</v>
      </c>
      <c r="F29" s="6">
        <f>IF(C29=0, Parametri!$D$8, ABS(B29-C29)/(2*SQRT(3)))</f>
      </c>
      <c r="G29" s="6">
        <f>(A29-335)+135.8+(Parametri!$A$5/2)</f>
      </c>
      <c r="H29" s="6">
        <f>(E29-192)-('Dati (2)'!A29-Parametri!$A$11)+Parametri!$A$2</f>
      </c>
      <c r="I29" s="6">
        <f>F29</f>
      </c>
      <c r="J29" s="6">
        <f>Parametri!$D$8</f>
      </c>
    </row>
    <row x14ac:dyDescent="0.25" r="30" customHeight="1" ht="17.25">
      <c r="A30" s="4">
        <f>A29+1</f>
      </c>
      <c r="B30" s="2"/>
      <c r="C30" s="2"/>
      <c r="D30" s="5">
        <f>B30+2*E30</f>
      </c>
      <c r="E30" s="6">
        <v>1245.5</v>
      </c>
      <c r="F30" s="6">
        <f>IF(C30=0, Parametri!$D$8, ABS(B30-C30)/(2*SQRT(3)))</f>
      </c>
      <c r="G30" s="6">
        <f>(A30-335)+135.8+(Parametri!$A$5/2)</f>
      </c>
      <c r="H30" s="6">
        <f>(E30-192)-('Dati (2)'!A30-Parametri!$A$11)+Parametri!$A$2</f>
      </c>
      <c r="I30" s="6">
        <f>F30</f>
      </c>
      <c r="J30" s="6">
        <f>Parametri!$D$8</f>
      </c>
    </row>
    <row x14ac:dyDescent="0.25" r="31" customHeight="1" ht="17.25">
      <c r="A31" s="4">
        <f>A30+1</f>
      </c>
      <c r="B31" s="2"/>
      <c r="C31" s="2"/>
      <c r="D31" s="5">
        <f>B31+2*E31</f>
      </c>
      <c r="E31" s="6">
        <v>1232</v>
      </c>
      <c r="F31" s="6">
        <f>IF(C31=0, Parametri!$D$8, ABS(B31-C31)/(2*SQRT(3)))</f>
      </c>
      <c r="G31" s="6">
        <f>(A31-335)+135.8+(Parametri!$A$5/2)</f>
      </c>
      <c r="H31" s="6">
        <f>(E31-192)-('Dati (2)'!A31-Parametri!$A$11)+Parametri!$A$2</f>
      </c>
      <c r="I31" s="6">
        <f>F31</f>
      </c>
      <c r="J31" s="6">
        <f>Parametri!$D$8</f>
      </c>
    </row>
    <row x14ac:dyDescent="0.25" r="32" customHeight="1" ht="17.25">
      <c r="A32" s="4">
        <f>A31+1</f>
      </c>
      <c r="B32" s="2"/>
      <c r="C32" s="2"/>
      <c r="D32" s="5">
        <f>B32+2*E32</f>
      </c>
      <c r="E32" s="6">
        <v>1213.5</v>
      </c>
      <c r="F32" s="6">
        <f>IF(C32=0, Parametri!$D$8, ABS(B32-C32)/(2*SQRT(3)))</f>
      </c>
      <c r="G32" s="6">
        <f>(A32-335)+135.8+(Parametri!$A$5/2)</f>
      </c>
      <c r="H32" s="6">
        <f>(E32-192)-('Dati (2)'!A32-Parametri!$A$11)+Parametri!$A$2</f>
      </c>
      <c r="I32" s="6">
        <f>F32</f>
      </c>
      <c r="J32" s="6">
        <f>Parametri!$D$8</f>
      </c>
    </row>
    <row x14ac:dyDescent="0.25" r="33" customHeight="1" ht="17.25">
      <c r="A33" s="4">
        <f>A32+1</f>
      </c>
      <c r="B33" s="2"/>
      <c r="C33" s="2"/>
      <c r="D33" s="5">
        <f>B33+2*E33</f>
      </c>
      <c r="E33" s="6">
        <v>1209.5</v>
      </c>
      <c r="F33" s="6">
        <f>IF(C33=0, Parametri!$D$8, ABS(B33-C33)/(2*SQRT(3)))</f>
      </c>
      <c r="G33" s="6">
        <f>(A33-335)+135.8+(Parametri!$A$5/2)</f>
      </c>
      <c r="H33" s="6">
        <f>(E33-192)-('Dati (2)'!A33-Parametri!$A$11)+Parametri!$A$2</f>
      </c>
      <c r="I33" s="6">
        <f>F33</f>
      </c>
      <c r="J33" s="6">
        <f>Parametri!$D$8</f>
      </c>
    </row>
    <row x14ac:dyDescent="0.25" r="34" customHeight="1" ht="17.25">
      <c r="A34" s="4">
        <f>A33+1</f>
      </c>
      <c r="B34" s="2"/>
      <c r="C34" s="2"/>
      <c r="D34" s="5">
        <f>B34+2*E34</f>
      </c>
      <c r="E34" s="6">
        <v>1199</v>
      </c>
      <c r="F34" s="6">
        <f>IF(C34=0, Parametri!$D$8, ABS(B34-C34)/(2*SQRT(3)))</f>
      </c>
      <c r="G34" s="6">
        <f>(A34-335)+135.8+(Parametri!$A$5/2)</f>
      </c>
      <c r="H34" s="6">
        <f>(E34-192)-('Dati (2)'!A34-Parametri!$A$11)+Parametri!$A$2</f>
      </c>
      <c r="I34" s="6">
        <f>F34</f>
      </c>
      <c r="J34" s="6">
        <f>Parametri!$D$8</f>
      </c>
    </row>
    <row x14ac:dyDescent="0.25" r="35" customHeight="1" ht="17.25">
      <c r="A35" s="4">
        <f>A34+1</f>
      </c>
      <c r="B35" s="2"/>
      <c r="C35" s="2"/>
      <c r="D35" s="5">
        <f>B35+2*E35</f>
      </c>
      <c r="E35" s="6">
        <v>1188</v>
      </c>
      <c r="F35" s="6">
        <f>IF(C35=0, Parametri!$D$8, ABS(B35-C35)/(2*SQRT(3)))</f>
      </c>
      <c r="G35" s="6">
        <f>(A35-335)+135.8+(Parametri!$A$5/2)</f>
      </c>
      <c r="H35" s="6">
        <f>(E35-192)-('Dati (2)'!A35-Parametri!$A$11)+Parametri!$A$2</f>
      </c>
      <c r="I35" s="6">
        <f>F35</f>
      </c>
      <c r="J35" s="6">
        <f>Parametri!$D$8</f>
      </c>
    </row>
    <row x14ac:dyDescent="0.25" r="36" customHeight="1" ht="17.25">
      <c r="A36" s="4">
        <f>A35+1</f>
      </c>
      <c r="B36" s="2"/>
      <c r="C36" s="2"/>
      <c r="D36" s="5">
        <f>B36+2*E36</f>
      </c>
      <c r="E36" s="6">
        <v>1178.5</v>
      </c>
      <c r="F36" s="6">
        <f>IF(C36=0, Parametri!$D$8, ABS(B36-C36)/(2*SQRT(3)))</f>
      </c>
      <c r="G36" s="6">
        <f>(A36-335)+135.8+(Parametri!$A$5/2)</f>
      </c>
      <c r="H36" s="6">
        <f>(E36-192)-('Dati (2)'!A36-Parametri!$A$11)+Parametri!$A$2</f>
      </c>
      <c r="I36" s="6">
        <f>F36</f>
      </c>
      <c r="J36" s="6">
        <f>Parametri!$D$8</f>
      </c>
    </row>
    <row x14ac:dyDescent="0.25" r="37" customHeight="1" ht="17.25">
      <c r="A37" s="4">
        <f>A36+1</f>
      </c>
      <c r="B37" s="2"/>
      <c r="C37" s="2"/>
      <c r="D37" s="5">
        <f>B37+2*E37</f>
      </c>
      <c r="E37" s="6">
        <v>1166.5</v>
      </c>
      <c r="F37" s="6">
        <f>IF(C37=0, Parametri!$D$8, ABS(B37-C37)/(2*SQRT(3)))</f>
      </c>
      <c r="G37" s="6">
        <f>(A37-335)+135.8+(Parametri!$A$5/2)</f>
      </c>
      <c r="H37" s="6">
        <f>(E37-192)-('Dati (2)'!A37-Parametri!$A$11)+Parametri!$A$2</f>
      </c>
      <c r="I37" s="6">
        <f>F37</f>
      </c>
      <c r="J37" s="6">
        <f>Parametri!$D$8</f>
      </c>
    </row>
    <row x14ac:dyDescent="0.25" r="38" customHeight="1" ht="17.25">
      <c r="A38" s="4">
        <f>A37+1</f>
      </c>
      <c r="B38" s="2"/>
      <c r="C38" s="2"/>
      <c r="D38" s="5">
        <f>B38+2*E38</f>
      </c>
      <c r="E38" s="6">
        <v>1155.5</v>
      </c>
      <c r="F38" s="6">
        <f>IF(C38=0, Parametri!$D$8, ABS(B38-C38)/(2*SQRT(3)))</f>
      </c>
      <c r="G38" s="6">
        <f>(A38-335)+135.8+(Parametri!$A$5/2)</f>
      </c>
      <c r="H38" s="6">
        <f>(E38-192)-('Dati (2)'!A38-Parametri!$A$11)+Parametri!$A$2</f>
      </c>
      <c r="I38" s="6">
        <f>F38</f>
      </c>
      <c r="J38" s="6">
        <f>Parametri!$D$8</f>
      </c>
    </row>
    <row x14ac:dyDescent="0.25" r="39" customHeight="1" ht="17.25">
      <c r="A39" s="4">
        <f>A38+1</f>
      </c>
      <c r="B39" s="2"/>
      <c r="C39" s="2"/>
      <c r="D39" s="5">
        <f>B39+2*E39</f>
      </c>
      <c r="E39" s="6">
        <v>1141</v>
      </c>
      <c r="F39" s="6">
        <f>IF(C39=0, Parametri!$D$8, ABS(B39-C39)/(2*SQRT(3)))</f>
      </c>
      <c r="G39" s="6">
        <f>(A39-335)+135.8+(Parametri!$A$5/2)</f>
      </c>
      <c r="H39" s="6">
        <f>(E39-192)-('Dati (2)'!A39-Parametri!$A$11)+Parametri!$A$2</f>
      </c>
      <c r="I39" s="6">
        <f>F39</f>
      </c>
      <c r="J39" s="6">
        <f>Parametri!$D$8</f>
      </c>
    </row>
    <row x14ac:dyDescent="0.25" r="40" customHeight="1" ht="17.25">
      <c r="A40" s="4">
        <f>A39+1</f>
      </c>
      <c r="B40" s="2"/>
      <c r="C40" s="2"/>
      <c r="D40" s="5">
        <f>B40+2*E40</f>
      </c>
      <c r="E40" s="6">
        <v>1138.5</v>
      </c>
      <c r="F40" s="6">
        <f>IF(C40=0, Parametri!$D$8, ABS(B40-C40)/(2*SQRT(3)))</f>
      </c>
      <c r="G40" s="6">
        <f>(A40-335)+135.8+(Parametri!$A$5/2)</f>
      </c>
      <c r="H40" s="6">
        <f>(E40-192)-('Dati (2)'!A40-Parametri!$A$11)+Parametri!$A$2</f>
      </c>
      <c r="I40" s="6">
        <f>F40</f>
      </c>
      <c r="J40" s="6">
        <f>Parametri!$D$8</f>
      </c>
    </row>
    <row x14ac:dyDescent="0.25" r="41" customHeight="1" ht="17.25">
      <c r="A41" s="4">
        <f>A40+1</f>
      </c>
      <c r="B41" s="2"/>
      <c r="C41" s="2"/>
      <c r="D41" s="5">
        <f>B41+2*E41</f>
      </c>
      <c r="E41" s="6">
        <v>1128</v>
      </c>
      <c r="F41" s="6">
        <f>IF(C41=0, Parametri!$D$8, ABS(B41-C41)/(2*SQRT(3)))</f>
      </c>
      <c r="G41" s="6">
        <f>(A41-335)+135.8+(Parametri!$A$5/2)</f>
      </c>
      <c r="H41" s="6">
        <f>(E41-192)-('Dati (2)'!A41-Parametri!$A$11)+Parametri!$A$2</f>
      </c>
      <c r="I41" s="6">
        <f>F41</f>
      </c>
      <c r="J41" s="6">
        <f>Parametri!$D$8</f>
      </c>
    </row>
    <row x14ac:dyDescent="0.25" r="42" customHeight="1" ht="17.25">
      <c r="A42" s="4">
        <f>A41+1</f>
      </c>
      <c r="B42" s="2"/>
      <c r="C42" s="2"/>
      <c r="D42" s="5">
        <f>B42+2*E42</f>
      </c>
      <c r="E42" s="6">
        <v>1116</v>
      </c>
      <c r="F42" s="6">
        <f>IF(C42=0, Parametri!$D$8, ABS(B42-C42)/(2*SQRT(3)))</f>
      </c>
      <c r="G42" s="6">
        <f>(A42-335)+135.8+(Parametri!$A$5/2)</f>
      </c>
      <c r="H42" s="6">
        <f>(E42-192)-('Dati (2)'!A42-Parametri!$A$11)+Parametri!$A$2</f>
      </c>
      <c r="I42" s="6">
        <f>F42</f>
      </c>
      <c r="J42" s="6">
        <f>Parametri!$D$8</f>
      </c>
    </row>
    <row x14ac:dyDescent="0.25" r="43" customHeight="1" ht="17.25">
      <c r="A43" s="4">
        <f>A42+1</f>
      </c>
      <c r="B43" s="2"/>
      <c r="C43" s="2"/>
      <c r="D43" s="5">
        <f>B43+2*E43</f>
      </c>
      <c r="E43" s="6">
        <v>1110</v>
      </c>
      <c r="F43" s="6">
        <f>IF(C43=0, Parametri!$D$8, ABS(B43-C43)/(2*SQRT(3)))</f>
      </c>
      <c r="G43" s="6">
        <f>(A43-335)+135.8+(Parametri!$A$5/2)</f>
      </c>
      <c r="H43" s="6">
        <f>(E43-192)-('Dati (2)'!A43-Parametri!$A$11)+Parametri!$A$2</f>
      </c>
      <c r="I43" s="6">
        <f>F43</f>
      </c>
      <c r="J43" s="6">
        <f>Parametri!$D$8</f>
      </c>
    </row>
    <row x14ac:dyDescent="0.25" r="44" customHeight="1" ht="17.25">
      <c r="A44" s="4">
        <f>A43+1</f>
      </c>
      <c r="B44" s="2"/>
      <c r="C44" s="2"/>
      <c r="D44" s="5">
        <f>B44+2*E44</f>
      </c>
      <c r="E44" s="6">
        <v>1097.5</v>
      </c>
      <c r="F44" s="6">
        <f>IF(C44=0, Parametri!$D$8, ABS(B44-C44)/(2*SQRT(3)))</f>
      </c>
      <c r="G44" s="6">
        <f>(A44-335)+135.8+(Parametri!$A$5/2)</f>
      </c>
      <c r="H44" s="6">
        <f>(E44-192)-('Dati (2)'!A44-Parametri!$A$11)+Parametri!$A$2</f>
      </c>
      <c r="I44" s="6">
        <f>F44</f>
      </c>
      <c r="J44" s="6">
        <f>Parametri!$D$8</f>
      </c>
    </row>
    <row x14ac:dyDescent="0.25" r="45" customHeight="1" ht="17.25">
      <c r="A45" s="4">
        <f>A44+1</f>
      </c>
      <c r="B45" s="2"/>
      <c r="C45" s="2"/>
      <c r="D45" s="5">
        <f>B45+2*E45</f>
      </c>
      <c r="E45" s="6">
        <v>1092.5</v>
      </c>
      <c r="F45" s="6">
        <f>IF(C45=0, Parametri!$D$8, ABS(B45-C45)/(2*SQRT(3)))</f>
      </c>
      <c r="G45" s="6">
        <f>(A45-335)+135.8+(Parametri!$A$5/2)</f>
      </c>
      <c r="H45" s="6">
        <f>(E45-192)-('Dati (2)'!A45-Parametri!$A$11)+Parametri!$A$2</f>
      </c>
      <c r="I45" s="6">
        <f>F45</f>
      </c>
      <c r="J45" s="6">
        <f>Parametri!$D$8</f>
      </c>
    </row>
    <row x14ac:dyDescent="0.25" r="46" customHeight="1" ht="17.25">
      <c r="A46" s="4">
        <f>A45+1</f>
      </c>
      <c r="B46" s="2"/>
      <c r="C46" s="2"/>
      <c r="D46" s="5">
        <f>B46+2*E46</f>
      </c>
      <c r="E46" s="6">
        <v>1086.5</v>
      </c>
      <c r="F46" s="6">
        <f>IF(C46=0, Parametri!$D$8, ABS(B46-C46)/(2*SQRT(3)))</f>
      </c>
      <c r="G46" s="6">
        <f>(A46-335)+135.8+(Parametri!$A$5/2)</f>
      </c>
      <c r="H46" s="6">
        <f>(E46-192)-('Dati (2)'!A46-Parametri!$A$11)+Parametri!$A$2</f>
      </c>
      <c r="I46" s="6">
        <f>F46</f>
      </c>
      <c r="J46" s="6">
        <f>Parametri!$D$8</f>
      </c>
    </row>
    <row x14ac:dyDescent="0.25" r="47" customHeight="1" ht="17.25">
      <c r="A47" s="4">
        <f>A46+1</f>
      </c>
      <c r="B47" s="2"/>
      <c r="C47" s="2"/>
      <c r="D47" s="5">
        <f>B47+2*E47</f>
      </c>
      <c r="E47" s="6">
        <v>1075</v>
      </c>
      <c r="F47" s="6">
        <f>IF(C47=0, Parametri!$D$8, ABS(B47-C47)/(2*SQRT(3)))</f>
      </c>
      <c r="G47" s="6">
        <f>(A47-335)+135.8+(Parametri!$A$5/2)</f>
      </c>
      <c r="H47" s="6">
        <f>(E47-192)-('Dati (2)'!A47-Parametri!$A$11)+Parametri!$A$2</f>
      </c>
      <c r="I47" s="6">
        <f>F47</f>
      </c>
      <c r="J47" s="6">
        <f>Parametri!$D$8</f>
      </c>
    </row>
    <row x14ac:dyDescent="0.25" r="48" customHeight="1" ht="17.25">
      <c r="A48" s="4">
        <f>A47+2</f>
      </c>
      <c r="B48" s="2"/>
      <c r="C48" s="2"/>
      <c r="D48" s="5">
        <f>B48+2*E48</f>
      </c>
      <c r="E48" s="6">
        <v>1063</v>
      </c>
      <c r="F48" s="6">
        <f>IF(C48=0, Parametri!$D$8, ABS(B48-C48)/(2*SQRT(3)))</f>
      </c>
      <c r="G48" s="6">
        <f>(A48-335)+135.8+(Parametri!$A$5/2)</f>
      </c>
      <c r="H48" s="6">
        <f>(E48-192)-('Dati (2)'!A48-Parametri!$A$11)+Parametri!$A$2</f>
      </c>
      <c r="I48" s="6">
        <f>F48</f>
      </c>
      <c r="J48" s="6">
        <f>Parametri!$D$8</f>
      </c>
    </row>
    <row x14ac:dyDescent="0.25" r="49" customHeight="1" ht="17.25">
      <c r="A49" s="4">
        <f>A48+2</f>
      </c>
      <c r="B49" s="2"/>
      <c r="C49" s="2"/>
      <c r="D49" s="5">
        <f>B49+2*E49</f>
      </c>
      <c r="E49" s="6">
        <v>1042.5</v>
      </c>
      <c r="F49" s="6">
        <f>IF(C49=0, Parametri!$D$8, ABS(B49-C49)/(2*SQRT(3)))</f>
      </c>
      <c r="G49" s="6">
        <f>(A49-335)+135.8+(Parametri!$A$5/2)</f>
      </c>
      <c r="H49" s="6">
        <f>(E49-192)-('Dati (2)'!A49-Parametri!$A$11)+Parametri!$A$2</f>
      </c>
      <c r="I49" s="6">
        <f>F49</f>
      </c>
      <c r="J49" s="6">
        <f>Parametri!$D$8</f>
      </c>
    </row>
    <row x14ac:dyDescent="0.25" r="50" customHeight="1" ht="17.25">
      <c r="A50" s="4">
        <f>A49+2</f>
      </c>
      <c r="B50" s="2"/>
      <c r="C50" s="2"/>
      <c r="D50" s="5">
        <f>B50+2*E50</f>
      </c>
      <c r="E50" s="6">
        <v>1034</v>
      </c>
      <c r="F50" s="6">
        <f>IF(C50=0, Parametri!$D$8, ABS(B50-C50)/(2*SQRT(3)))</f>
      </c>
      <c r="G50" s="6">
        <f>(A50-335)+135.8+(Parametri!$A$5/2)</f>
      </c>
      <c r="H50" s="6">
        <f>(E50-192)-('Dati (2)'!A50-Parametri!$A$11)+Parametri!$A$2</f>
      </c>
      <c r="I50" s="6">
        <f>F50</f>
      </c>
      <c r="J50" s="6">
        <f>Parametri!$D$8</f>
      </c>
    </row>
    <row x14ac:dyDescent="0.25" r="51" customHeight="1" ht="17.25">
      <c r="A51" s="4">
        <f>A50+2</f>
      </c>
      <c r="B51" s="2"/>
      <c r="C51" s="2"/>
      <c r="D51" s="5">
        <f>B51+2*E51</f>
      </c>
      <c r="E51" s="6">
        <v>1027.5</v>
      </c>
      <c r="F51" s="6">
        <f>IF(C51=0, Parametri!$D$8, ABS(B51-C51)/(2*SQRT(3)))</f>
      </c>
      <c r="G51" s="6">
        <f>(A51-335)+135.8+(Parametri!$A$5/2)</f>
      </c>
      <c r="H51" s="6">
        <f>(E51-192)-('Dati (2)'!A51-Parametri!$A$11)+Parametri!$A$2</f>
      </c>
      <c r="I51" s="6">
        <f>F51</f>
      </c>
      <c r="J51" s="6">
        <f>Parametri!$D$8</f>
      </c>
    </row>
    <row x14ac:dyDescent="0.25" r="52" customHeight="1" ht="17.25">
      <c r="A52" s="4">
        <f>A51+2</f>
      </c>
      <c r="B52" s="2"/>
      <c r="C52" s="2"/>
      <c r="D52" s="5">
        <f>B52+2*E52</f>
      </c>
      <c r="E52" s="6">
        <v>1010</v>
      </c>
      <c r="F52" s="6">
        <f>IF(C52=0, Parametri!$D$8, ABS(B52-C52)/(2*SQRT(3)))</f>
      </c>
      <c r="G52" s="6">
        <f>(A52-335)+135.8+(Parametri!$A$5/2)</f>
      </c>
      <c r="H52" s="6">
        <f>(E52-192)-('Dati (2)'!A52-Parametri!$A$11)+Parametri!$A$2</f>
      </c>
      <c r="I52" s="6">
        <f>F52</f>
      </c>
      <c r="J52" s="6">
        <f>Parametri!$D$8</f>
      </c>
    </row>
    <row x14ac:dyDescent="0.25" r="53" customHeight="1" ht="17.25">
      <c r="A53" s="4">
        <f>A52+2</f>
      </c>
      <c r="B53" s="2"/>
      <c r="C53" s="2"/>
      <c r="D53" s="5">
        <f>B53+2*E53</f>
      </c>
      <c r="E53" s="6">
        <v>999.5</v>
      </c>
      <c r="F53" s="6">
        <f>IF(C53=0, Parametri!$D$8, ABS(B53-C53)/(2*SQRT(3)))</f>
      </c>
      <c r="G53" s="6">
        <f>(A53-335)+135.8+(Parametri!$A$5/2)</f>
      </c>
      <c r="H53" s="6">
        <f>(E53-192)-('Dati (2)'!A53-Parametri!$A$11)+Parametri!$A$2</f>
      </c>
      <c r="I53" s="6">
        <f>F53</f>
      </c>
      <c r="J53" s="6">
        <f>Parametri!$D$8</f>
      </c>
    </row>
    <row x14ac:dyDescent="0.25" r="54" customHeight="1" ht="17.25">
      <c r="A54" s="4">
        <f>A53+2</f>
      </c>
      <c r="B54" s="2"/>
      <c r="C54" s="2"/>
      <c r="D54" s="5">
        <f>B54+2*E54</f>
      </c>
      <c r="E54" s="6">
        <v>987.5</v>
      </c>
      <c r="F54" s="6">
        <f>IF(C54=0, Parametri!$D$8, ABS(B54-C54)/(2*SQRT(3)))</f>
      </c>
      <c r="G54" s="6">
        <f>(A54-335)+135.8+(Parametri!$A$5/2)</f>
      </c>
      <c r="H54" s="6">
        <f>(E54-192)-('Dati (2)'!A54-Parametri!$A$11)+Parametri!$A$2</f>
      </c>
      <c r="I54" s="6">
        <f>F54</f>
      </c>
      <c r="J54" s="6">
        <f>Parametri!$D$8</f>
      </c>
    </row>
    <row x14ac:dyDescent="0.25" r="55" customHeight="1" ht="17.25">
      <c r="A55" s="4">
        <f>A54+2</f>
      </c>
      <c r="B55" s="2"/>
      <c r="C55" s="2"/>
      <c r="D55" s="5">
        <f>B55+2*E55</f>
      </c>
      <c r="E55" s="6">
        <v>980.5</v>
      </c>
      <c r="F55" s="6">
        <f>IF(C55=0, Parametri!$D$8, ABS(B55-C55)/(2*SQRT(3)))</f>
      </c>
      <c r="G55" s="6">
        <f>(A55-335)+135.8+(Parametri!$A$5/2)</f>
      </c>
      <c r="H55" s="6">
        <f>(E55-192)-('Dati (2)'!A55-Parametri!$A$11)+Parametri!$A$2</f>
      </c>
      <c r="I55" s="6">
        <f>F55</f>
      </c>
      <c r="J55" s="6">
        <f>Parametri!$D$8</f>
      </c>
    </row>
    <row x14ac:dyDescent="0.25" r="56" customHeight="1" ht="17.25">
      <c r="A56" s="4">
        <f>A55+2</f>
      </c>
      <c r="B56" s="2"/>
      <c r="C56" s="2"/>
      <c r="D56" s="5">
        <f>B56+2*E56</f>
      </c>
      <c r="E56" s="6">
        <v>970</v>
      </c>
      <c r="F56" s="6">
        <f>IF(C56=0, Parametri!$D$8, ABS(B56-C56)/(2*SQRT(3)))</f>
      </c>
      <c r="G56" s="6">
        <f>(A56-335)+135.8+(Parametri!$A$5/2)</f>
      </c>
      <c r="H56" s="6">
        <f>(E56-192)-('Dati (2)'!A56-Parametri!$A$11)+Parametri!$A$2</f>
      </c>
      <c r="I56" s="6">
        <f>F56</f>
      </c>
      <c r="J56" s="6">
        <f>Parametri!$D$8</f>
      </c>
    </row>
    <row x14ac:dyDescent="0.25" r="57" customHeight="1" ht="17.25">
      <c r="A57" s="4">
        <f>A56+2</f>
      </c>
      <c r="B57" s="2"/>
      <c r="C57" s="2"/>
      <c r="D57" s="5">
        <f>B57+2*E57</f>
      </c>
      <c r="E57" s="6">
        <v>955</v>
      </c>
      <c r="F57" s="6">
        <f>IF(C57=0, Parametri!$D$8, ABS(B57-C57)/(2*SQRT(3)))</f>
      </c>
      <c r="G57" s="6">
        <f>(A57-335)+135.8+(Parametri!$A$5/2)</f>
      </c>
      <c r="H57" s="6">
        <f>(E57-192)-('Dati (2)'!A57-Parametri!$A$11)+Parametri!$A$2</f>
      </c>
      <c r="I57" s="6">
        <f>F57</f>
      </c>
      <c r="J57" s="6">
        <f>Parametri!$D$8</f>
      </c>
    </row>
    <row x14ac:dyDescent="0.25" r="58" customHeight="1" ht="17.25">
      <c r="A58" s="4">
        <f>A57+2</f>
      </c>
      <c r="B58" s="2"/>
      <c r="C58" s="2"/>
      <c r="D58" s="5">
        <f>B58+2*E58</f>
      </c>
      <c r="E58" s="6">
        <v>945.5</v>
      </c>
      <c r="F58" s="6">
        <f>IF(C58=0, Parametri!$D$8, ABS(B58-C58)/(2*SQRT(3)))</f>
      </c>
      <c r="G58" s="6">
        <f>(A58-335)+135.8+(Parametri!$A$5/2)</f>
      </c>
      <c r="H58" s="6">
        <f>(E58-192)-('Dati (2)'!A58-Parametri!$A$11)+Parametri!$A$2</f>
      </c>
      <c r="I58" s="6">
        <f>F58</f>
      </c>
      <c r="J58" s="6">
        <f>Parametri!$D$8</f>
      </c>
    </row>
    <row x14ac:dyDescent="0.25" r="59" customHeight="1" ht="17.25">
      <c r="A59" s="4">
        <f>A58+2</f>
      </c>
      <c r="B59" s="2"/>
      <c r="C59" s="2"/>
      <c r="D59" s="5">
        <f>B59+2*E59</f>
      </c>
      <c r="E59" s="6">
        <v>943.5</v>
      </c>
      <c r="F59" s="6">
        <f>IF(C59=0, Parametri!$D$8, ABS(B59-C59)/(2*SQRT(3)))</f>
      </c>
      <c r="G59" s="6">
        <f>(A59-335)+135.8+(Parametri!$A$5/2)</f>
      </c>
      <c r="H59" s="6">
        <f>(E59-192)-('Dati (2)'!A59-Parametri!$A$11)+Parametri!$A$2</f>
      </c>
      <c r="I59" s="6">
        <f>F59</f>
      </c>
      <c r="J59" s="6">
        <f>Parametri!$D$8</f>
      </c>
    </row>
    <row x14ac:dyDescent="0.25" r="60" customHeight="1" ht="17.25">
      <c r="A60" s="4">
        <f>A59+2</f>
      </c>
      <c r="B60" s="2"/>
      <c r="C60" s="2"/>
      <c r="D60" s="5">
        <f>B60+2*E60</f>
      </c>
      <c r="E60" s="6">
        <v>933.5</v>
      </c>
      <c r="F60" s="6">
        <f>IF(C60=0, Parametri!$D$8, ABS(B60-C60)/(2*SQRT(3)))</f>
      </c>
      <c r="G60" s="6">
        <f>(A60-335)+135.8+(Parametri!$A$5/2)</f>
      </c>
      <c r="H60" s="6">
        <f>(E60-192)-('Dati (2)'!A60-Parametri!$A$11)+Parametri!$A$2</f>
      </c>
      <c r="I60" s="6">
        <f>F60</f>
      </c>
      <c r="J60" s="6">
        <f>Parametri!$D$8</f>
      </c>
    </row>
    <row x14ac:dyDescent="0.25" r="61" customHeight="1" ht="17.25">
      <c r="A61" s="4">
        <f>A60+2</f>
      </c>
      <c r="B61" s="2"/>
      <c r="C61" s="2"/>
      <c r="D61" s="5">
        <f>B61+2*E61</f>
      </c>
      <c r="E61" s="6">
        <v>931</v>
      </c>
      <c r="F61" s="6">
        <f>IF(C61=0, Parametri!$D$8, ABS(B61-C61)/(2*SQRT(3)))</f>
      </c>
      <c r="G61" s="6">
        <f>(A61-335)+135.8+(Parametri!$A$5/2)</f>
      </c>
      <c r="H61" s="6">
        <f>(E61-192)-('Dati (2)'!A61-Parametri!$A$11)+Parametri!$A$2</f>
      </c>
      <c r="I61" s="6">
        <f>F61</f>
      </c>
      <c r="J61" s="6">
        <f>Parametri!$D$8</f>
      </c>
    </row>
    <row x14ac:dyDescent="0.25" r="62" customHeight="1" ht="17.25">
      <c r="A62" s="4">
        <f>A61+2</f>
      </c>
      <c r="B62" s="2"/>
      <c r="C62" s="2"/>
      <c r="D62" s="5">
        <f>B62+2*E62</f>
      </c>
      <c r="E62" s="6">
        <v>923</v>
      </c>
      <c r="F62" s="6">
        <f>IF(C62=0, Parametri!$D$8, ABS(B62-C62)/(2*SQRT(3)))</f>
      </c>
      <c r="G62" s="6">
        <f>(A62-335)+135.8+(Parametri!$A$5/2)</f>
      </c>
      <c r="H62" s="6">
        <f>(E62-192)-('Dati (2)'!A62-Parametri!$A$11)+Parametri!$A$2</f>
      </c>
      <c r="I62" s="6">
        <f>F62</f>
      </c>
      <c r="J62" s="6">
        <f>Parametri!$D$8</f>
      </c>
    </row>
    <row x14ac:dyDescent="0.25" r="63" customHeight="1" ht="17.25">
      <c r="A63" s="4">
        <f>A62+2</f>
      </c>
      <c r="B63" s="2"/>
      <c r="C63" s="2"/>
      <c r="D63" s="5">
        <f>B63+2*E63</f>
      </c>
      <c r="E63" s="6">
        <v>920</v>
      </c>
      <c r="F63" s="6">
        <f>IF(C63=0, Parametri!$D$8, ABS(B63-C63)/(2*SQRT(3)))</f>
      </c>
      <c r="G63" s="6">
        <f>(A63-335)+135.8+(Parametri!$A$5/2)</f>
      </c>
      <c r="H63" s="6">
        <f>(E63-192)-('Dati (2)'!A63-Parametri!$A$11)+Parametri!$A$2</f>
      </c>
      <c r="I63" s="6">
        <f>F63</f>
      </c>
      <c r="J63" s="6">
        <f>Parametri!$D$8</f>
      </c>
    </row>
    <row x14ac:dyDescent="0.25" r="64" customHeight="1" ht="17.25">
      <c r="A64" s="4">
        <f>A63+2</f>
      </c>
      <c r="B64" s="2"/>
      <c r="C64" s="2"/>
      <c r="D64" s="5">
        <f>B64+2*E64</f>
      </c>
      <c r="E64" s="6">
        <v>912</v>
      </c>
      <c r="F64" s="6">
        <f>IF(C64=0, Parametri!$D$8, ABS(B64-C64)/(2*SQRT(3)))</f>
      </c>
      <c r="G64" s="6">
        <f>(A64-335)+135.8+(Parametri!$A$5/2)</f>
      </c>
      <c r="H64" s="6">
        <f>(E64-192)-('Dati (2)'!A64-Parametri!$A$11)+Parametri!$A$2</f>
      </c>
      <c r="I64" s="6">
        <f>F64</f>
      </c>
      <c r="J64" s="6">
        <f>Parametri!$D$8</f>
      </c>
    </row>
    <row x14ac:dyDescent="0.25" r="65" customHeight="1" ht="17.25">
      <c r="A65" s="4">
        <f>A64+2</f>
      </c>
      <c r="B65" s="2"/>
      <c r="C65" s="2"/>
      <c r="D65" s="5">
        <f>B65+2*E65</f>
      </c>
      <c r="E65" s="6">
        <v>906</v>
      </c>
      <c r="F65" s="6">
        <f>IF(C65=0, Parametri!$D$8, ABS(B65-C65)/(2*SQRT(3)))</f>
      </c>
      <c r="G65" s="6">
        <f>(A65-335)+135.8+(Parametri!$A$5/2)</f>
      </c>
      <c r="H65" s="6">
        <f>(E65-192)-('Dati (2)'!A65-Parametri!$A$11)+Parametri!$A$2</f>
      </c>
      <c r="I65" s="6">
        <f>F65</f>
      </c>
      <c r="J65" s="6">
        <f>Parametri!$D$8</f>
      </c>
    </row>
    <row x14ac:dyDescent="0.25" r="66" customHeight="1" ht="17.25">
      <c r="A66" s="4">
        <f>A65+3</f>
      </c>
      <c r="B66" s="2"/>
      <c r="C66" s="2"/>
      <c r="D66" s="5">
        <f>B66+2*E66</f>
      </c>
      <c r="E66" s="6">
        <v>903</v>
      </c>
      <c r="F66" s="6">
        <f>IF(C66=0, Parametri!$D$8, ABS(B66-C66)/(2*SQRT(3)))</f>
      </c>
      <c r="G66" s="6">
        <f>(A66-335)+135.8+(Parametri!$A$5/2)</f>
      </c>
      <c r="H66" s="6">
        <f>(E66-192)-('Dati (2)'!A66-Parametri!$A$11)+Parametri!$A$2</f>
      </c>
      <c r="I66" s="6">
        <f>F66</f>
      </c>
      <c r="J66" s="6">
        <f>Parametri!$D$8</f>
      </c>
    </row>
    <row x14ac:dyDescent="0.25" r="67" customHeight="1" ht="17.25">
      <c r="A67" s="4">
        <f>A66+3</f>
      </c>
      <c r="B67" s="2"/>
      <c r="C67" s="2"/>
      <c r="D67" s="5">
        <f>B67+2*E67</f>
      </c>
      <c r="E67" s="6">
        <v>891</v>
      </c>
      <c r="F67" s="6">
        <f>IF(C67=0, Parametri!$D$8, ABS(B67-C67)/(2*SQRT(3)))</f>
      </c>
      <c r="G67" s="6">
        <f>(A67-335)+135.8+(Parametri!$A$5/2)</f>
      </c>
      <c r="H67" s="6">
        <f>(E67-192)-('Dati (2)'!A67-Parametri!$A$11)+Parametri!$A$2</f>
      </c>
      <c r="I67" s="6">
        <f>F67</f>
      </c>
      <c r="J67" s="6">
        <f>Parametri!$D$8</f>
      </c>
    </row>
    <row x14ac:dyDescent="0.25" r="68" customHeight="1" ht="17.25">
      <c r="A68" s="4">
        <f>A67+3</f>
      </c>
      <c r="B68" s="2"/>
      <c r="C68" s="2"/>
      <c r="D68" s="5">
        <f>B68+2*E68</f>
      </c>
      <c r="E68" s="6">
        <v>888.5</v>
      </c>
      <c r="F68" s="6">
        <f>IF(C68=0, Parametri!$D$8, ABS(B68-C68)/(2*SQRT(3)))</f>
      </c>
      <c r="G68" s="6">
        <f>(A68-335)+135.8+(Parametri!$A$5/2)</f>
      </c>
      <c r="H68" s="6">
        <f>(E68-192)-('Dati (2)'!A68-Parametri!$A$11)+Parametri!$A$2</f>
      </c>
      <c r="I68" s="6">
        <f>F68</f>
      </c>
      <c r="J68" s="6">
        <f>Parametri!$D$8</f>
      </c>
    </row>
    <row x14ac:dyDescent="0.25" r="69" customHeight="1" ht="17.25">
      <c r="A69" s="4">
        <f>A68+3</f>
      </c>
      <c r="B69" s="2"/>
      <c r="C69" s="2"/>
      <c r="D69" s="5">
        <f>B69+2*E69</f>
      </c>
      <c r="E69" s="6">
        <v>890</v>
      </c>
      <c r="F69" s="6">
        <f>IF(C69=0, Parametri!$D$8, ABS(B69-C69)/(2*SQRT(3)))</f>
      </c>
      <c r="G69" s="6">
        <f>(A69-335)+135.8+(Parametri!$A$5/2)</f>
      </c>
      <c r="H69" s="6">
        <f>(E69-192)-('Dati (2)'!A69-Parametri!$A$11)+Parametri!$A$2</f>
      </c>
      <c r="I69" s="6">
        <f>F69</f>
      </c>
      <c r="J69" s="6">
        <f>Parametri!$D$8</f>
      </c>
    </row>
    <row x14ac:dyDescent="0.25" r="70" customHeight="1" ht="17.25">
      <c r="A70" s="4">
        <f>A69+3</f>
      </c>
      <c r="B70" s="2"/>
      <c r="C70" s="2"/>
      <c r="D70" s="5">
        <f>B70+2*E70</f>
      </c>
      <c r="E70" s="6">
        <v>876</v>
      </c>
      <c r="F70" s="6">
        <f>IF(C70=0, Parametri!$D$8, ABS(B70-C70)/(2*SQRT(3)))</f>
      </c>
      <c r="G70" s="6">
        <f>(A70-335)+135.8+(Parametri!$A$5/2)</f>
      </c>
      <c r="H70" s="6">
        <f>(E70-192)-('Dati (2)'!A70-Parametri!$A$11)+Parametri!$A$2</f>
      </c>
      <c r="I70" s="6">
        <f>F70</f>
      </c>
      <c r="J70" s="6">
        <f>Parametri!$D$8</f>
      </c>
    </row>
    <row x14ac:dyDescent="0.25" r="71" customHeight="1" ht="17.25">
      <c r="A71" s="4">
        <f>A70+3</f>
      </c>
      <c r="B71" s="2"/>
      <c r="C71" s="2"/>
      <c r="D71" s="5">
        <f>B71+2*E71</f>
      </c>
      <c r="E71" s="6">
        <v>872</v>
      </c>
      <c r="F71" s="6">
        <f>IF(C71=0, Parametri!$D$8, ABS(B71-C71)/(2*SQRT(3)))</f>
      </c>
      <c r="G71" s="6">
        <f>(A71-335)+135.8+(Parametri!$A$5/2)</f>
      </c>
      <c r="H71" s="6">
        <f>(E71-192)-('Dati (2)'!A71-Parametri!$A$11)+Parametri!$A$2</f>
      </c>
      <c r="I71" s="6">
        <f>F71</f>
      </c>
      <c r="J71" s="6">
        <f>Parametri!$D$8</f>
      </c>
    </row>
    <row x14ac:dyDescent="0.25" r="72" customHeight="1" ht="17.25">
      <c r="A72" s="4">
        <f>A71+3</f>
      </c>
      <c r="B72" s="2"/>
      <c r="C72" s="2"/>
      <c r="D72" s="5">
        <f>B72+2*E72</f>
      </c>
      <c r="E72" s="6">
        <v>871</v>
      </c>
      <c r="F72" s="6">
        <f>IF(C72=0, Parametri!$D$8, ABS(B72-C72)/(2*SQRT(3)))</f>
      </c>
      <c r="G72" s="6">
        <f>(A72-335)+135.8+(Parametri!$A$5/2)</f>
      </c>
      <c r="H72" s="6">
        <f>(E72-192)-('Dati (2)'!A72-Parametri!$A$11)+Parametri!$A$2</f>
      </c>
      <c r="I72" s="6">
        <f>F72</f>
      </c>
      <c r="J72" s="6">
        <f>Parametri!$D$8</f>
      </c>
    </row>
    <row x14ac:dyDescent="0.25" r="73" customHeight="1" ht="17.25">
      <c r="A73" s="4">
        <f>A72+3</f>
      </c>
      <c r="B73" s="2"/>
      <c r="C73" s="2"/>
      <c r="D73" s="5">
        <f>B73+2*E73</f>
      </c>
      <c r="E73" s="6">
        <v>867</v>
      </c>
      <c r="F73" s="6">
        <f>IF(C73=0, Parametri!$D$8, ABS(B73-C73)/(2*SQRT(3)))</f>
      </c>
      <c r="G73" s="6">
        <f>(A73-335)+135.8+(Parametri!$A$5/2)</f>
      </c>
      <c r="H73" s="6">
        <f>(E73-192)-('Dati (2)'!A73-Parametri!$A$11)+Parametri!$A$2</f>
      </c>
      <c r="I73" s="6">
        <f>F73</f>
      </c>
      <c r="J73" s="6">
        <f>Parametri!$D$8</f>
      </c>
    </row>
    <row x14ac:dyDescent="0.25" r="74" customHeight="1" ht="17.25">
      <c r="A74" s="4">
        <f>A73+4</f>
      </c>
      <c r="B74" s="2"/>
      <c r="C74" s="2"/>
      <c r="D74" s="5">
        <f>B74+2*E74</f>
      </c>
      <c r="E74" s="6">
        <v>860.5</v>
      </c>
      <c r="F74" s="6">
        <f>IF(C74=0, Parametri!$D$8, ABS(B74-C74)/(2*SQRT(3)))</f>
      </c>
      <c r="G74" s="6">
        <f>(A74-335)+135.8+(Parametri!$A$5/2)</f>
      </c>
      <c r="H74" s="6">
        <f>(E74-192)-('Dati (2)'!A74-Parametri!$A$11)+Parametri!$A$2</f>
      </c>
      <c r="I74" s="6">
        <f>F74</f>
      </c>
      <c r="J74" s="6">
        <f>Parametri!$D$8</f>
      </c>
    </row>
    <row x14ac:dyDescent="0.25" r="75" customHeight="1" ht="17.25">
      <c r="A75" s="4">
        <f>A74+4</f>
      </c>
      <c r="B75" s="2"/>
      <c r="C75" s="2"/>
      <c r="D75" s="5">
        <f>B75+2*E75</f>
      </c>
      <c r="E75" s="6">
        <v>860</v>
      </c>
      <c r="F75" s="6">
        <f>IF(C75=0, Parametri!$D$8, ABS(B75-C75)/(2*SQRT(3)))</f>
      </c>
      <c r="G75" s="6">
        <f>(A75-335)+135.8+(Parametri!$A$5/2)</f>
      </c>
      <c r="H75" s="6">
        <f>(E75-192)-('Dati (2)'!A75-Parametri!$A$11)+Parametri!$A$2</f>
      </c>
      <c r="I75" s="6">
        <f>F75</f>
      </c>
      <c r="J75" s="6">
        <f>Parametri!$D$8</f>
      </c>
    </row>
    <row x14ac:dyDescent="0.25" r="76" customHeight="1" ht="17.25">
      <c r="A76" s="4">
        <f>A75+4</f>
      </c>
      <c r="B76" s="2"/>
      <c r="C76" s="2"/>
      <c r="D76" s="5">
        <f>B76+2*E76</f>
      </c>
      <c r="E76" s="6">
        <v>853</v>
      </c>
      <c r="F76" s="6">
        <f>IF(C76=0, Parametri!$D$8, ABS(B76-C76)/(2*SQRT(3)))</f>
      </c>
      <c r="G76" s="6">
        <f>(A76-335)+135.8+(Parametri!$A$5/2)</f>
      </c>
      <c r="H76" s="6">
        <f>(E76-192)-('Dati (2)'!A76-Parametri!$A$11)+Parametri!$A$2</f>
      </c>
      <c r="I76" s="6">
        <f>F76</f>
      </c>
      <c r="J76" s="6">
        <f>Parametri!$D$8</f>
      </c>
    </row>
    <row x14ac:dyDescent="0.25" r="77" customHeight="1" ht="17.25">
      <c r="A77" s="4">
        <f>A76+4</f>
      </c>
      <c r="B77" s="2"/>
      <c r="C77" s="2"/>
      <c r="D77" s="5">
        <f>B77+2*E77</f>
      </c>
      <c r="E77" s="6">
        <v>847.5</v>
      </c>
      <c r="F77" s="6">
        <f>IF(C77=0, Parametri!$D$8, ABS(B77-C77)/(2*SQRT(3)))</f>
      </c>
      <c r="G77" s="6">
        <f>(A77-335)+135.8+(Parametri!$A$5/2)</f>
      </c>
      <c r="H77" s="6">
        <f>(E77-192)-('Dati (2)'!A77-Parametri!$A$11)+Parametri!$A$2</f>
      </c>
      <c r="I77" s="6">
        <f>F77</f>
      </c>
      <c r="J77" s="6">
        <f>Parametri!$D$8</f>
      </c>
    </row>
    <row x14ac:dyDescent="0.25" r="78" customHeight="1" ht="17.25">
      <c r="A78" s="4">
        <f>A77+4</f>
      </c>
      <c r="B78" s="2"/>
      <c r="C78" s="2"/>
      <c r="D78" s="5">
        <f>B78+2*E78</f>
      </c>
      <c r="E78" s="6">
        <v>848</v>
      </c>
      <c r="F78" s="6">
        <f>IF(C78=0, Parametri!$D$8, ABS(B78-C78)/(2*SQRT(3)))</f>
      </c>
      <c r="G78" s="6">
        <f>(A78-335)+135.8+(Parametri!$A$5/2)</f>
      </c>
      <c r="H78" s="6">
        <f>(E78-192)-('Dati (2)'!A78-Parametri!$A$11)+Parametri!$A$2</f>
      </c>
      <c r="I78" s="6">
        <f>F78</f>
      </c>
      <c r="J78" s="6">
        <f>Parametri!$D$8</f>
      </c>
    </row>
    <row x14ac:dyDescent="0.25" r="79" customHeight="1" ht="17.25">
      <c r="A79" s="4">
        <f>A78+4</f>
      </c>
      <c r="B79" s="2"/>
      <c r="C79" s="2"/>
      <c r="D79" s="5">
        <f>B79+2*E79</f>
      </c>
      <c r="E79" s="6">
        <v>842.5</v>
      </c>
      <c r="F79" s="6">
        <f>IF(C79=0, Parametri!$D$8, ABS(B79-C79)/(2*SQRT(3)))</f>
      </c>
      <c r="G79" s="6">
        <f>(A79-335)+135.8+(Parametri!$A$5/2)</f>
      </c>
      <c r="H79" s="6">
        <f>(E79-192)-('Dati (2)'!A79-Parametri!$A$11)+Parametri!$A$2</f>
      </c>
      <c r="I79" s="6">
        <f>F79</f>
      </c>
      <c r="J79" s="6">
        <f>Parametri!$D$8</f>
      </c>
    </row>
    <row x14ac:dyDescent="0.25" r="80" customHeight="1" ht="17.25">
      <c r="A80" s="4">
        <f>A79+4</f>
      </c>
      <c r="B80" s="2"/>
      <c r="C80" s="2"/>
      <c r="D80" s="5">
        <f>B80+2*E80</f>
      </c>
      <c r="E80" s="6">
        <v>841</v>
      </c>
      <c r="F80" s="6">
        <f>IF(C80=0, Parametri!$D$8, ABS(B80-C80)/(2*SQRT(3)))</f>
      </c>
      <c r="G80" s="6">
        <f>(A80-335)+135.8+(Parametri!$A$5/2)</f>
      </c>
      <c r="H80" s="6">
        <f>(E80-192)-('Dati (2)'!A80-Parametri!$A$11)+Parametri!$A$2</f>
      </c>
      <c r="I80" s="6">
        <f>F80</f>
      </c>
      <c r="J80" s="6">
        <f>Parametri!$D$8</f>
      </c>
    </row>
    <row x14ac:dyDescent="0.25" r="81" customHeight="1" ht="17.25">
      <c r="A81" s="4">
        <f>A80+4</f>
      </c>
      <c r="B81" s="2"/>
      <c r="C81" s="2"/>
      <c r="D81" s="5">
        <f>B81+2*E81</f>
      </c>
      <c r="E81" s="6">
        <v>838.5</v>
      </c>
      <c r="F81" s="6">
        <f>IF(C81=0, Parametri!$D$8, ABS(B81-C81)/(2*SQRT(3)))</f>
      </c>
      <c r="G81" s="6">
        <f>(A81-335)+135.8+(Parametri!$A$5/2)</f>
      </c>
      <c r="H81" s="6">
        <f>(E81-192)-('Dati (2)'!A81-Parametri!$A$11)+Parametri!$A$2</f>
      </c>
      <c r="I81" s="6">
        <f>F81</f>
      </c>
      <c r="J81" s="6">
        <f>Parametri!$D$8</f>
      </c>
    </row>
    <row x14ac:dyDescent="0.25" r="82" customHeight="1" ht="17.25">
      <c r="A82" s="4">
        <f>A81+5</f>
      </c>
      <c r="B82" s="2"/>
      <c r="C82" s="2"/>
      <c r="D82" s="5">
        <f>B82+2*E82</f>
      </c>
      <c r="E82" s="6">
        <v>841.5</v>
      </c>
      <c r="F82" s="6">
        <f>IF(C82=0, Parametri!$D$8, ABS(B82-C82)/(2*SQRT(3)))</f>
      </c>
      <c r="G82" s="6">
        <f>(A82-335)+135.8+(Parametri!$A$5/2)</f>
      </c>
      <c r="H82" s="6">
        <f>(E82-192)-('Dati (2)'!A82-Parametri!$A$11)+Parametri!$A$2</f>
      </c>
      <c r="I82" s="6">
        <f>F82</f>
      </c>
      <c r="J82" s="6">
        <f>Parametri!$D$8</f>
      </c>
    </row>
    <row x14ac:dyDescent="0.25" r="83" customHeight="1" ht="17.25">
      <c r="A83" s="4">
        <f>A82+5</f>
      </c>
      <c r="B83" s="2"/>
      <c r="C83" s="2"/>
      <c r="D83" s="5">
        <f>B83+2*E83</f>
      </c>
      <c r="E83" s="6">
        <v>842</v>
      </c>
      <c r="F83" s="6">
        <f>IF(C83=0, Parametri!$D$8, ABS(B83-C83)/(2*SQRT(3)))</f>
      </c>
      <c r="G83" s="6">
        <f>(A83-335)+135.8+(Parametri!$A$5/2)</f>
      </c>
      <c r="H83" s="6">
        <f>(E83-192)-('Dati (2)'!A83-Parametri!$A$11)+Parametri!$A$2</f>
      </c>
      <c r="I83" s="6">
        <f>F83</f>
      </c>
      <c r="J83" s="6">
        <f>Parametri!$D$8</f>
      </c>
    </row>
    <row x14ac:dyDescent="0.25" r="84" customHeight="1" ht="17.25">
      <c r="A84" s="4">
        <f>A83+5</f>
      </c>
      <c r="B84" s="2"/>
      <c r="C84" s="2"/>
      <c r="D84" s="5">
        <f>B84+2*E84</f>
      </c>
      <c r="E84" s="6">
        <v>841</v>
      </c>
      <c r="F84" s="6">
        <f>IF(C84=0, Parametri!$D$8, ABS(B84-C84)/(2*SQRT(3)))</f>
      </c>
      <c r="G84" s="6">
        <f>(A84-335)+135.8+(Parametri!$A$5/2)</f>
      </c>
      <c r="H84" s="6">
        <f>(E84-192)-('Dati (2)'!A84-Parametri!$A$11)+Parametri!$A$2</f>
      </c>
      <c r="I84" s="6">
        <f>F84</f>
      </c>
      <c r="J84" s="6">
        <f>Parametri!$D$8</f>
      </c>
    </row>
    <row x14ac:dyDescent="0.25" r="85" customHeight="1" ht="17.25">
      <c r="A85" s="4">
        <f>A84+5</f>
      </c>
      <c r="B85" s="2"/>
      <c r="C85" s="2"/>
      <c r="D85" s="5">
        <f>B85+2*E85</f>
      </c>
      <c r="E85" s="6">
        <v>840.5</v>
      </c>
      <c r="F85" s="6">
        <f>IF(C85=0, Parametri!$D$8, ABS(B85-C85)/(2*SQRT(3)))</f>
      </c>
      <c r="G85" s="6">
        <f>(A85-335)+135.8+(Parametri!$A$5/2)</f>
      </c>
      <c r="H85" s="6">
        <f>(E85-192)-('Dati (2)'!A85-Parametri!$A$11)+Parametri!$A$2</f>
      </c>
      <c r="I85" s="6">
        <f>F85</f>
      </c>
      <c r="J85" s="6">
        <f>Parametri!$D$8</f>
      </c>
    </row>
    <row x14ac:dyDescent="0.25" r="86" customHeight="1" ht="17.25">
      <c r="A86" s="4">
        <f>A85+5</f>
      </c>
      <c r="B86" s="2"/>
      <c r="C86" s="2"/>
      <c r="D86" s="5">
        <f>B86+2*E86</f>
      </c>
      <c r="E86" s="6">
        <v>840</v>
      </c>
      <c r="F86" s="6">
        <f>IF(C86=0, Parametri!$D$8, ABS(B86-C86)/(2*SQRT(3)))</f>
      </c>
      <c r="G86" s="6">
        <f>(A86-335)+135.8+(Parametri!$A$5/2)</f>
      </c>
      <c r="H86" s="6">
        <f>(E86-192)-('Dati (2)'!A86-Parametri!$A$11)+Parametri!$A$2</f>
      </c>
      <c r="I86" s="6">
        <f>F86</f>
      </c>
      <c r="J86" s="6">
        <f>Parametri!$D$8</f>
      </c>
    </row>
    <row x14ac:dyDescent="0.25" r="87" customHeight="1" ht="17.25">
      <c r="A87" s="4">
        <f>A86+5</f>
      </c>
      <c r="B87" s="2"/>
      <c r="C87" s="2"/>
      <c r="D87" s="5">
        <f>B87+2*E87</f>
      </c>
      <c r="E87" s="6">
        <v>840</v>
      </c>
      <c r="F87" s="6">
        <f>IF(C87=0, Parametri!$D$8, ABS(B87-C87)/(2*SQRT(3)))</f>
      </c>
      <c r="G87" s="6">
        <f>(A87-335)+135.8+(Parametri!$A$5/2)</f>
      </c>
      <c r="H87" s="6">
        <f>(E87-192)-('Dati (2)'!A87-Parametri!$A$11)+Parametri!$A$2</f>
      </c>
      <c r="I87" s="6">
        <f>F87</f>
      </c>
      <c r="J87" s="6">
        <f>Parametri!$D$8</f>
      </c>
    </row>
    <row x14ac:dyDescent="0.25" r="88" customHeight="1" ht="17.25">
      <c r="A88" s="4">
        <f>A87+5</f>
      </c>
      <c r="B88" s="2"/>
      <c r="C88" s="2"/>
      <c r="D88" s="5">
        <f>B88+2*E88</f>
      </c>
      <c r="E88" s="6">
        <v>840</v>
      </c>
      <c r="F88" s="6">
        <f>IF(C88=0, Parametri!$D$8, ABS(B88-C88)/(2*SQRT(3)))</f>
      </c>
      <c r="G88" s="6">
        <f>(A88-335)+135.8+(Parametri!$A$5/2)</f>
      </c>
      <c r="H88" s="6">
        <f>(E88-192)-('Dati (2)'!A88-Parametri!$A$11)+Parametri!$A$2</f>
      </c>
      <c r="I88" s="6">
        <f>F88</f>
      </c>
      <c r="J88" s="6">
        <f>Parametri!$D$8</f>
      </c>
    </row>
    <row x14ac:dyDescent="0.25" r="89" customHeight="1" ht="17.25">
      <c r="A89" s="4">
        <f>A88+5</f>
      </c>
      <c r="B89" s="2"/>
      <c r="C89" s="2"/>
      <c r="D89" s="5">
        <f>B89+2*E89</f>
      </c>
      <c r="E89" s="6">
        <v>840</v>
      </c>
      <c r="F89" s="6">
        <f>IF(C89=0, Parametri!$D$8, ABS(B89-C89)/(2*SQRT(3)))</f>
      </c>
      <c r="G89" s="6">
        <f>(A89-335)+135.8+(Parametri!$A$5/2)</f>
      </c>
      <c r="H89" s="6">
        <f>(E89-192)-('Dati (2)'!A89-Parametri!$A$11)+Parametri!$A$2</f>
      </c>
      <c r="I89" s="6">
        <f>F89</f>
      </c>
      <c r="J89" s="6">
        <f>Parametri!$D$8</f>
      </c>
    </row>
    <row x14ac:dyDescent="0.25" r="90" customHeight="1" ht="17.25">
      <c r="A90" s="4">
        <f>A89+7</f>
      </c>
      <c r="B90" s="2"/>
      <c r="C90" s="2"/>
      <c r="D90" s="5">
        <f>B90+2*E90</f>
      </c>
      <c r="E90" s="6">
        <v>840</v>
      </c>
      <c r="F90" s="6">
        <f>IF(C90=0, Parametri!$D$8, ABS(B90-C90)/(2*SQRT(3)))</f>
      </c>
      <c r="G90" s="6">
        <f>(A90-335)+135.8+(Parametri!$A$5/2)</f>
      </c>
      <c r="H90" s="6">
        <f>(E90-192)-('Dati (2)'!A90-Parametri!$A$11)+Parametri!$A$2</f>
      </c>
      <c r="I90" s="6">
        <f>F90</f>
      </c>
      <c r="J90" s="6">
        <f>Parametri!$D$8</f>
      </c>
    </row>
    <row x14ac:dyDescent="0.25" r="91" customHeight="1" ht="17.25">
      <c r="A91" s="4">
        <f>A90+7</f>
      </c>
      <c r="B91" s="2"/>
      <c r="C91" s="2"/>
      <c r="D91" s="5">
        <f>B91+2*E91</f>
      </c>
      <c r="E91" s="6">
        <v>841.5</v>
      </c>
      <c r="F91" s="6">
        <f>IF(C91=0, Parametri!$D$8, ABS(B91-C91)/(2*SQRT(3)))</f>
      </c>
      <c r="G91" s="6">
        <f>(A91-335)+135.8+(Parametri!$A$5/2)</f>
      </c>
      <c r="H91" s="6">
        <f>(E91-192)-('Dati (2)'!A91-Parametri!$A$11)+Parametri!$A$2</f>
      </c>
      <c r="I91" s="6">
        <f>F91</f>
      </c>
      <c r="J91" s="6">
        <f>Parametri!$D$8</f>
      </c>
    </row>
    <row x14ac:dyDescent="0.25" r="92" customHeight="1" ht="17.25">
      <c r="A92" s="4">
        <f>A91+7</f>
      </c>
      <c r="B92" s="2"/>
      <c r="C92" s="2"/>
      <c r="D92" s="5">
        <f>B92+2*E92</f>
      </c>
      <c r="E92" s="6">
        <v>846</v>
      </c>
      <c r="F92" s="6">
        <f>IF(C92=0, Parametri!$D$8, ABS(B92-C92)/(2*SQRT(3)))</f>
      </c>
      <c r="G92" s="6">
        <f>(A92-335)+135.8+(Parametri!$A$5/2)</f>
      </c>
      <c r="H92" s="6">
        <f>(E92-192)-('Dati (2)'!A92-Parametri!$A$11)+Parametri!$A$2</f>
      </c>
      <c r="I92" s="6">
        <f>F92</f>
      </c>
      <c r="J92" s="6">
        <f>Parametri!$D$8</f>
      </c>
    </row>
    <row x14ac:dyDescent="0.25" r="93" customHeight="1" ht="17.25">
      <c r="A93" s="4">
        <f>A92+7</f>
      </c>
      <c r="B93" s="2"/>
      <c r="C93" s="2"/>
      <c r="D93" s="5">
        <f>B93+2*E93</f>
      </c>
      <c r="E93" s="6">
        <v>844.5</v>
      </c>
      <c r="F93" s="6">
        <f>IF(C93=0, Parametri!$D$8, ABS(B93-C93)/(2*SQRT(3)))</f>
      </c>
      <c r="G93" s="6">
        <f>(A93-335)+135.8+(Parametri!$A$5/2)</f>
      </c>
      <c r="H93" s="6">
        <f>(E93-192)-('Dati (2)'!A93-Parametri!$A$11)+Parametri!$A$2</f>
      </c>
      <c r="I93" s="6">
        <f>F93</f>
      </c>
      <c r="J93" s="6">
        <f>Parametri!$D$8</f>
      </c>
    </row>
    <row x14ac:dyDescent="0.25" r="94" customHeight="1" ht="17.25">
      <c r="A94" s="4">
        <f>A93+10</f>
      </c>
      <c r="B94" s="2"/>
      <c r="C94" s="2"/>
      <c r="D94" s="5">
        <f>B94+2*E94</f>
      </c>
      <c r="E94" s="6">
        <v>850</v>
      </c>
      <c r="F94" s="6">
        <f>IF(C94=0, Parametri!$D$8, ABS(B94-C94)/(2*SQRT(3)))</f>
      </c>
      <c r="G94" s="6">
        <f>(A94-335)+135.8+(Parametri!$A$5/2)</f>
      </c>
      <c r="H94" s="6">
        <f>(E94-192)-('Dati (2)'!A94-Parametri!$A$11)+Parametri!$A$2</f>
      </c>
      <c r="I94" s="6">
        <f>F94</f>
      </c>
      <c r="J94" s="6">
        <f>Parametri!$D$8</f>
      </c>
    </row>
    <row x14ac:dyDescent="0.25" r="95" customHeight="1" ht="17.25">
      <c r="A95" s="4">
        <f>A94+10</f>
      </c>
      <c r="B95" s="2"/>
      <c r="C95" s="2"/>
      <c r="D95" s="5">
        <f>B95+2*E95</f>
      </c>
      <c r="E95" s="6">
        <v>853</v>
      </c>
      <c r="F95" s="6">
        <f>IF(C95=0, Parametri!$D$8, ABS(B95-C95)/(2*SQRT(3)))</f>
      </c>
      <c r="G95" s="6">
        <f>(A95-335)+135.8+(Parametri!$A$5/2)</f>
      </c>
      <c r="H95" s="6">
        <f>(E95-192)-('Dati (2)'!A95-Parametri!$A$11)+Parametri!$A$2</f>
      </c>
      <c r="I95" s="6">
        <f>F95</f>
      </c>
      <c r="J95" s="6">
        <f>Parametri!$D$8</f>
      </c>
    </row>
    <row x14ac:dyDescent="0.25" r="96" customHeight="1" ht="17.25">
      <c r="A96" s="4">
        <f>A95+10</f>
      </c>
      <c r="B96" s="2"/>
      <c r="C96" s="2"/>
      <c r="D96" s="5">
        <f>B96+2*E96</f>
      </c>
      <c r="E96" s="6">
        <v>856</v>
      </c>
      <c r="F96" s="6">
        <f>IF(C96=0, Parametri!$D$8, ABS(B96-C96)/(2*SQRT(3)))</f>
      </c>
      <c r="G96" s="6">
        <f>(A96-335)+135.8+(Parametri!$A$5/2)</f>
      </c>
      <c r="H96" s="6">
        <f>(E96-192)-('Dati (2)'!A96-Parametri!$A$11)+Parametri!$A$2</f>
      </c>
      <c r="I96" s="6">
        <f>F96</f>
      </c>
      <c r="J96" s="6">
        <f>Parametri!$D$8</f>
      </c>
    </row>
    <row x14ac:dyDescent="0.25" r="97" customHeight="1" ht="17.25">
      <c r="A97" s="4">
        <f>A96+10</f>
      </c>
      <c r="B97" s="2"/>
      <c r="C97" s="2"/>
      <c r="D97" s="5">
        <f>B97+2*E97</f>
      </c>
      <c r="E97" s="6">
        <v>859</v>
      </c>
      <c r="F97" s="6">
        <f>IF(C97=0, Parametri!$D$8, ABS(B97-C97)/(2*SQRT(3)))</f>
      </c>
      <c r="G97" s="6">
        <f>(A97-335)+135.8+(Parametri!$A$5/2)</f>
      </c>
      <c r="H97" s="6">
        <f>(E97-192)-('Dati (2)'!A97-Parametri!$A$11)+Parametri!$A$2</f>
      </c>
      <c r="I97" s="6">
        <f>F97</f>
      </c>
      <c r="J97" s="6">
        <f>Parametri!$D$8</f>
      </c>
    </row>
    <row x14ac:dyDescent="0.25" r="98" customHeight="1" ht="17.25">
      <c r="A98" s="4">
        <f>A97+10</f>
      </c>
      <c r="B98" s="2"/>
      <c r="C98" s="2"/>
      <c r="D98" s="5">
        <f>B98+2*E98</f>
      </c>
      <c r="E98" s="6">
        <v>858.5</v>
      </c>
      <c r="F98" s="6">
        <f>IF(C98=0, Parametri!$D$8, ABS(B98-C98)/(2*SQRT(3)))</f>
      </c>
      <c r="G98" s="6">
        <f>(A98-335)+135.8+(Parametri!$A$5/2)</f>
      </c>
      <c r="H98" s="6">
        <f>(E98-192)-('Dati (2)'!A98-Parametri!$A$11)+Parametri!$A$2</f>
      </c>
      <c r="I98" s="6">
        <f>F98</f>
      </c>
      <c r="J98" s="6">
        <f>Parametri!$D$8</f>
      </c>
    </row>
    <row x14ac:dyDescent="0.25" r="99" customHeight="1" ht="17.25">
      <c r="A99" s="4">
        <f>A98+10</f>
      </c>
      <c r="B99" s="2"/>
      <c r="C99" s="2"/>
      <c r="D99" s="5">
        <f>B99+2*E99</f>
      </c>
      <c r="E99" s="6">
        <v>874.5</v>
      </c>
      <c r="F99" s="6">
        <f>IF(C99=0, Parametri!$D$8, ABS(B99-C99)/(2*SQRT(3)))</f>
      </c>
      <c r="G99" s="6">
        <f>(A99-335)+135.8+(Parametri!$A$5/2)</f>
      </c>
      <c r="H99" s="6">
        <f>(E99-192)-('Dati (2)'!A99-Parametri!$A$11)+Parametri!$A$2</f>
      </c>
      <c r="I99" s="6">
        <f>F99</f>
      </c>
      <c r="J99" s="6">
        <f>Parametri!$D$8</f>
      </c>
    </row>
    <row x14ac:dyDescent="0.25" r="100" customHeight="1" ht="17.25">
      <c r="A100" s="4">
        <f>A99+10</f>
      </c>
      <c r="B100" s="2"/>
      <c r="C100" s="2"/>
      <c r="D100" s="5">
        <f>B100+2*E100</f>
      </c>
      <c r="E100" s="6">
        <v>876.5</v>
      </c>
      <c r="F100" s="6">
        <f>IF(C100=0, Parametri!$D$8, ABS(B100-C100)/(2*SQRT(3)))</f>
      </c>
      <c r="G100" s="6">
        <f>(A100-335)+135.8+(Parametri!$A$5/2)</f>
      </c>
      <c r="H100" s="6">
        <f>(E100-192)-('Dati (2)'!A100-Parametri!$A$11)+Parametri!$A$2</f>
      </c>
      <c r="I100" s="6">
        <f>F100</f>
      </c>
      <c r="J100" s="6">
        <f>Parametri!$D$8</f>
      </c>
    </row>
    <row x14ac:dyDescent="0.25" r="101" customHeight="1" ht="17.25">
      <c r="A101" s="4">
        <f>A100+10</f>
      </c>
      <c r="B101" s="2"/>
      <c r="C101" s="2"/>
      <c r="D101" s="5">
        <f>B101+2*E101</f>
      </c>
      <c r="E101" s="6">
        <v>884</v>
      </c>
      <c r="F101" s="6">
        <f>IF(C101=0, Parametri!$D$8, ABS(B101-C101)/(2*SQRT(3)))</f>
      </c>
      <c r="G101" s="6">
        <f>(A101-335)+135.8+(Parametri!$A$5/2)</f>
      </c>
      <c r="H101" s="6">
        <f>(E101-192)-('Dati (2)'!A101-Parametri!$A$11)+Parametri!$A$2</f>
      </c>
      <c r="I101" s="6">
        <f>F101</f>
      </c>
      <c r="J101" s="6">
        <f>Parametri!$D$8</f>
      </c>
    </row>
    <row x14ac:dyDescent="0.25" r="102" customHeight="1" ht="17.25">
      <c r="A102" s="4">
        <f>A101+10</f>
      </c>
      <c r="B102" s="2"/>
      <c r="C102" s="2"/>
      <c r="D102" s="5">
        <f>B102+2*E102</f>
      </c>
      <c r="E102" s="6">
        <v>889</v>
      </c>
      <c r="F102" s="6">
        <f>IF(C102=0, Parametri!$D$8, ABS(B102-C102)/(2*SQRT(3)))</f>
      </c>
      <c r="G102" s="6">
        <f>(A102-335)+135.8+(Parametri!$A$5/2)</f>
      </c>
      <c r="H102" s="6">
        <f>(E102-192)-('Dati (2)'!A102-Parametri!$A$11)+Parametri!$A$2</f>
      </c>
      <c r="I102" s="6">
        <f>F102</f>
      </c>
      <c r="J102" s="6">
        <f>Parametri!$D$8</f>
      </c>
    </row>
    <row x14ac:dyDescent="0.25" r="103" customHeight="1" ht="17.25">
      <c r="A103" s="4">
        <f>A102+10</f>
      </c>
      <c r="B103" s="2"/>
      <c r="C103" s="2"/>
      <c r="D103" s="5">
        <f>B103+2*E103</f>
      </c>
      <c r="E103" s="6">
        <v>894.5</v>
      </c>
      <c r="F103" s="6">
        <f>IF(C103=0, Parametri!$D$8, ABS(B103-C103)/(2*SQRT(3)))</f>
      </c>
      <c r="G103" s="6">
        <f>(A103-335)+135.8+(Parametri!$A$5/2)</f>
      </c>
      <c r="H103" s="6">
        <f>(E103-192)-('Dati (2)'!A103-Parametri!$A$11)+Parametri!$A$2</f>
      </c>
      <c r="I103" s="6">
        <f>F103</f>
      </c>
      <c r="J103" s="6">
        <f>Parametri!$D$8</f>
      </c>
    </row>
    <row x14ac:dyDescent="0.25" r="104" customHeight="1" ht="17.25">
      <c r="A104" s="4">
        <f>A103+20</f>
      </c>
      <c r="B104" s="2"/>
      <c r="C104" s="2"/>
      <c r="D104" s="5">
        <f>B104+2*E104</f>
      </c>
      <c r="E104" s="6">
        <v>906.5</v>
      </c>
      <c r="F104" s="6">
        <f>IF(C104=0, Parametri!$D$8, ABS(B104-C104)/(2*SQRT(3)))</f>
      </c>
      <c r="G104" s="6">
        <f>(A104-335)+135.8+(Parametri!$A$5/2)</f>
      </c>
      <c r="H104" s="6">
        <f>(E104-192)-('Dati (2)'!A104-Parametri!$A$11)+Parametri!$A$2</f>
      </c>
      <c r="I104" s="6">
        <f>F104</f>
      </c>
      <c r="J104" s="6">
        <f>Parametri!$D$8</f>
      </c>
    </row>
    <row x14ac:dyDescent="0.25" r="105" customHeight="1" ht="17.25">
      <c r="A105" s="4">
        <f>A104+20</f>
      </c>
      <c r="B105" s="2"/>
      <c r="C105" s="2"/>
      <c r="D105" s="5">
        <f>B105+2*E105</f>
      </c>
      <c r="E105" s="6">
        <v>924.5</v>
      </c>
      <c r="F105" s="6">
        <f>IF(C105=0, Parametri!$D$8, ABS(B105-C105)/(2*SQRT(3)))</f>
      </c>
      <c r="G105" s="6">
        <f>(A105-335)+135.8+(Parametri!$A$5/2)</f>
      </c>
      <c r="H105" s="6">
        <f>(E105-192)-('Dati (2)'!A105-Parametri!$A$11)+Parametri!$A$2</f>
      </c>
      <c r="I105" s="6">
        <f>F105</f>
      </c>
      <c r="J105" s="6">
        <f>Parametri!$D$8</f>
      </c>
    </row>
    <row x14ac:dyDescent="0.25" r="106" customHeight="1" ht="17.25">
      <c r="A106" s="4">
        <f>A105+20</f>
      </c>
      <c r="B106" s="2"/>
      <c r="C106" s="2"/>
      <c r="D106" s="5">
        <f>B106+2*E106</f>
      </c>
      <c r="E106" s="6">
        <v>937.5</v>
      </c>
      <c r="F106" s="6">
        <f>IF(C106=0, Parametri!$D$8, ABS(B106-C106)/(2*SQRT(3)))</f>
      </c>
      <c r="G106" s="6">
        <f>(A106-335)+135.8+(Parametri!$A$5/2)</f>
      </c>
      <c r="H106" s="6">
        <f>(E106-192)-('Dati (2)'!A106-Parametri!$A$11)+Parametri!$A$2</f>
      </c>
      <c r="I106" s="6">
        <f>F106</f>
      </c>
      <c r="J106" s="6">
        <f>Parametri!$D$8</f>
      </c>
    </row>
    <row x14ac:dyDescent="0.25" r="107" customHeight="1" ht="17.25">
      <c r="A107" s="4">
        <f>A106+20</f>
      </c>
      <c r="B107" s="2"/>
      <c r="C107" s="2"/>
      <c r="D107" s="5">
        <f>B107+2*E107</f>
      </c>
      <c r="E107" s="6">
        <v>952</v>
      </c>
      <c r="F107" s="6">
        <f>IF(C107=0, Parametri!$D$8, ABS(B107-C107)/(2*SQRT(3)))</f>
      </c>
      <c r="G107" s="6">
        <f>(A107-335)+135.8+(Parametri!$A$5/2)</f>
      </c>
      <c r="H107" s="6">
        <f>(E107-192)-('Dati (2)'!A107-Parametri!$A$11)+Parametri!$A$2</f>
      </c>
      <c r="I107" s="6">
        <f>F107</f>
      </c>
      <c r="J107" s="6">
        <f>Parametri!$D$8</f>
      </c>
    </row>
    <row x14ac:dyDescent="0.25" r="108" customHeight="1" ht="17.25">
      <c r="A108" s="4">
        <f>A107+20</f>
      </c>
      <c r="B108" s="2"/>
      <c r="C108" s="2"/>
      <c r="D108" s="5">
        <f>B108+2*E108</f>
      </c>
      <c r="E108" s="6">
        <v>968.5</v>
      </c>
      <c r="F108" s="6">
        <f>IF(C108=0, Parametri!$D$8, ABS(B108-C108)/(2*SQRT(3)))</f>
      </c>
      <c r="G108" s="6">
        <f>(A108-335)+135.8+(Parametri!$A$5/2)</f>
      </c>
      <c r="H108" s="6">
        <f>(E108-192)-('Dati (2)'!A108-Parametri!$A$11)+Parametri!$A$2</f>
      </c>
      <c r="I108" s="6">
        <f>F108</f>
      </c>
      <c r="J108" s="6">
        <f>Parametri!$D$8</f>
      </c>
    </row>
    <row x14ac:dyDescent="0.25" r="109" customHeight="1" ht="17.25">
      <c r="A109" s="4">
        <f>A108+20</f>
      </c>
      <c r="B109" s="2"/>
      <c r="C109" s="2"/>
      <c r="D109" s="5">
        <f>B109+2*E109</f>
      </c>
      <c r="E109" s="6">
        <v>984.5</v>
      </c>
      <c r="F109" s="6">
        <f>IF(C109=0, Parametri!$D$8, ABS(B109-C109)/(2*SQRT(3)))</f>
      </c>
      <c r="G109" s="6">
        <f>(A109-335)+135.8+(Parametri!$A$5/2)</f>
      </c>
      <c r="H109" s="6">
        <f>(E109-192)-('Dati (2)'!A109-Parametri!$A$11)+Parametri!$A$2</f>
      </c>
      <c r="I109" s="6">
        <f>F109</f>
      </c>
      <c r="J109" s="6">
        <f>Parametri!$D$8</f>
      </c>
    </row>
    <row x14ac:dyDescent="0.25" r="110" customHeight="1" ht="17.25">
      <c r="A110" s="4">
        <f>A109+20</f>
      </c>
      <c r="B110" s="2"/>
      <c r="C110" s="2"/>
      <c r="D110" s="5">
        <f>B110+2*E110</f>
      </c>
      <c r="E110" s="6">
        <v>1001</v>
      </c>
      <c r="F110" s="6">
        <f>IF(C110=0, Parametri!$D$8, ABS(B110-C110)/(2*SQRT(3)))</f>
      </c>
      <c r="G110" s="6">
        <f>(A110-335)+135.8+(Parametri!$A$5/2)</f>
      </c>
      <c r="H110" s="6">
        <f>(E110-192)-('Dati (2)'!A110-Parametri!$A$11)+Parametri!$A$2</f>
      </c>
      <c r="I110" s="6">
        <f>F110</f>
      </c>
      <c r="J110" s="6">
        <f>Parametri!$D$8</f>
      </c>
    </row>
    <row x14ac:dyDescent="0.25" r="111" customHeight="1" ht="17.25">
      <c r="A111" s="4">
        <f>A110+20</f>
      </c>
      <c r="B111" s="2"/>
      <c r="C111" s="2"/>
      <c r="D111" s="5">
        <f>B111+2*E111</f>
      </c>
      <c r="E111" s="6">
        <v>1017</v>
      </c>
      <c r="F111" s="6">
        <f>IF(C111=0, Parametri!$D$8, ABS(B111-C111)/(2*SQRT(3)))</f>
      </c>
      <c r="G111" s="6">
        <f>(A111-335)+135.8+(Parametri!$A$5/2)</f>
      </c>
      <c r="H111" s="6">
        <f>(E111-192)-('Dati (2)'!A111-Parametri!$A$11)+Parametri!$A$2</f>
      </c>
      <c r="I111" s="6">
        <f>F111</f>
      </c>
      <c r="J111" s="6">
        <f>Parametri!$D$8</f>
      </c>
    </row>
    <row x14ac:dyDescent="0.25" r="112" customHeight="1" ht="17.25">
      <c r="A112" s="4">
        <f>A111+20</f>
      </c>
      <c r="B112" s="2"/>
      <c r="C112" s="2"/>
      <c r="D112" s="5">
        <f>B112+2*E112</f>
      </c>
      <c r="E112" s="6">
        <v>1033.5</v>
      </c>
      <c r="F112" s="6">
        <f>IF(C112=0, Parametri!$D$8, ABS(B112-C112)/(2*SQRT(3)))</f>
      </c>
      <c r="G112" s="6">
        <f>(A112-335)+135.8+(Parametri!$A$5/2)</f>
      </c>
      <c r="H112" s="6">
        <f>(E112-192)-('Dati (2)'!A112-Parametri!$A$11)+Parametri!$A$2</f>
      </c>
      <c r="I112" s="6">
        <f>F112</f>
      </c>
      <c r="J112" s="6">
        <f>Parametri!$D$8</f>
      </c>
    </row>
    <row x14ac:dyDescent="0.25" r="113" customHeight="1" ht="17.25">
      <c r="A113" s="4">
        <f>A112+20</f>
      </c>
      <c r="B113" s="2"/>
      <c r="C113" s="2"/>
      <c r="D113" s="5">
        <f>B113+2*E113</f>
      </c>
      <c r="E113" s="6">
        <v>1050</v>
      </c>
      <c r="F113" s="6">
        <f>IF(C113=0, Parametri!$D$8, ABS(B113-C113)/(2*SQRT(3)))</f>
      </c>
      <c r="G113" s="6">
        <f>(A113-335)+135.8+(Parametri!$A$5/2)</f>
      </c>
      <c r="H113" s="6">
        <f>(E113-192)-('Dati (2)'!A113-Parametri!$A$11)+Parametri!$A$2</f>
      </c>
      <c r="I113" s="6">
        <f>F113</f>
      </c>
      <c r="J113" s="6">
        <f>Parametri!$D$8</f>
      </c>
    </row>
    <row x14ac:dyDescent="0.25" r="114" customHeight="1" ht="17.25">
      <c r="A114" s="4">
        <f>A113+50</f>
      </c>
      <c r="B114" s="2"/>
      <c r="C114" s="2"/>
      <c r="D114" s="5">
        <f>B114+2*E114</f>
      </c>
      <c r="E114" s="6">
        <v>1093.5</v>
      </c>
      <c r="F114" s="6">
        <f>IF(C114=0, Parametri!$D$8, ABS(B114-C114)/(2*SQRT(3)))</f>
      </c>
      <c r="G114" s="6">
        <f>(A114-335)+135.8+(Parametri!$A$5/2)</f>
      </c>
      <c r="H114" s="6">
        <f>(E114-192)-('Dati (2)'!A114-Parametri!$A$11)+Parametri!$A$2</f>
      </c>
      <c r="I114" s="6">
        <f>F114</f>
      </c>
      <c r="J114" s="6">
        <f>Parametri!$D$8</f>
      </c>
    </row>
    <row x14ac:dyDescent="0.25" r="115" customHeight="1" ht="17.25">
      <c r="A115" s="4">
        <f>A114+50</f>
      </c>
      <c r="B115" s="2"/>
      <c r="C115" s="2"/>
      <c r="D115" s="5">
        <f>B115+2*E115</f>
      </c>
      <c r="E115" s="6">
        <v>1138</v>
      </c>
      <c r="F115" s="6">
        <f>IF(C115=0, Parametri!$D$8, ABS(B115-C115)/(2*SQRT(3)))</f>
      </c>
      <c r="G115" s="6">
        <f>(A115-335)+135.8+(Parametri!$A$5/2)</f>
      </c>
      <c r="H115" s="6">
        <f>(E115-192)-('Dati (2)'!A115-Parametri!$A$11)+Parametri!$A$2</f>
      </c>
      <c r="I115" s="6">
        <f>F115</f>
      </c>
      <c r="J115" s="6">
        <f>Parametri!$D$8</f>
      </c>
    </row>
    <row x14ac:dyDescent="0.25" r="116" customHeight="1" ht="17.25">
      <c r="A116" s="4">
        <f>A115+50</f>
      </c>
      <c r="B116" s="2"/>
      <c r="C116" s="2"/>
      <c r="D116" s="5">
        <f>B116+2*E116</f>
      </c>
      <c r="E116" s="6">
        <v>1184.5</v>
      </c>
      <c r="F116" s="6">
        <f>IF(C116=0, Parametri!$D$8, ABS(B116-C116)/(2*SQRT(3)))</f>
      </c>
      <c r="G116" s="6">
        <f>(A116-335)+135.8+(Parametri!$A$5/2)</f>
      </c>
      <c r="H116" s="6">
        <f>(E116-192)-('Dati (2)'!A116-Parametri!$A$11)+Parametri!$A$2</f>
      </c>
      <c r="I116" s="6">
        <f>F116</f>
      </c>
      <c r="J116" s="6">
        <f>Parametri!$D$8</f>
      </c>
    </row>
    <row x14ac:dyDescent="0.25" r="117" customHeight="1" ht="17.25">
      <c r="A117" s="4">
        <f>A116+50</f>
      </c>
      <c r="B117" s="2"/>
      <c r="C117" s="2"/>
      <c r="D117" s="5">
        <f>B117+2*E117</f>
      </c>
      <c r="E117" s="6">
        <v>1228</v>
      </c>
      <c r="F117" s="6">
        <f>IF(C117=0, Parametri!$D$8, ABS(B117-C117)/(2*SQRT(3)))</f>
      </c>
      <c r="G117" s="6">
        <f>(A117-335)+135.8+(Parametri!$A$5/2)</f>
      </c>
      <c r="H117" s="6">
        <f>(E117-192)-('Dati (2)'!A117-Parametri!$A$11)+Parametri!$A$2</f>
      </c>
      <c r="I117" s="6">
        <f>F117</f>
      </c>
      <c r="J117" s="6">
        <f>Parametri!$D$8</f>
      </c>
    </row>
    <row x14ac:dyDescent="0.25" r="118" customHeight="1" ht="17.25">
      <c r="A118" s="4">
        <f>A117+50</f>
      </c>
      <c r="B118" s="2"/>
      <c r="C118" s="2"/>
      <c r="D118" s="5">
        <f>B118+2*E118</f>
      </c>
      <c r="E118" s="6">
        <v>1275</v>
      </c>
      <c r="F118" s="6">
        <f>IF(C118=0, Parametri!$D$8, ABS(B118-C118)/(2*SQRT(3)))</f>
      </c>
      <c r="G118" s="6">
        <f>(A118-335)+135.8+(Parametri!$A$5/2)</f>
      </c>
      <c r="H118" s="6">
        <f>(E118-192)-('Dati (2)'!A118-Parametri!$A$11)+Parametri!$A$2</f>
      </c>
      <c r="I118" s="6">
        <f>F118</f>
      </c>
      <c r="J118" s="6">
        <f>Parametri!$D$8</f>
      </c>
    </row>
    <row x14ac:dyDescent="0.25" r="119" customHeight="1" ht="17.25">
      <c r="A119" s="4">
        <f>A118+50</f>
      </c>
      <c r="B119" s="2"/>
      <c r="C119" s="2"/>
      <c r="D119" s="5">
        <f>B119+2*E119</f>
      </c>
      <c r="E119" s="6">
        <v>1323</v>
      </c>
      <c r="F119" s="6">
        <f>IF(C119=0, Parametri!$D$8, ABS(B119-C119)/(2*SQRT(3)))</f>
      </c>
      <c r="G119" s="6">
        <f>(A119-335)+135.8+(Parametri!$A$5/2)</f>
      </c>
      <c r="H119" s="6">
        <f>(E119-192)-('Dati (2)'!A119-Parametri!$A$11)+Parametri!$A$2</f>
      </c>
      <c r="I119" s="6">
        <f>F119</f>
      </c>
      <c r="J119" s="6">
        <f>Parametri!$D$8</f>
      </c>
    </row>
    <row x14ac:dyDescent="0.25" r="120" customHeight="1" ht="17.25">
      <c r="A120" s="4">
        <f>A119+100</f>
      </c>
      <c r="B120" s="2"/>
      <c r="C120" s="2"/>
      <c r="D120" s="5">
        <f>B120+2*E120</f>
      </c>
      <c r="E120" s="6">
        <v>1418</v>
      </c>
      <c r="F120" s="6">
        <f>IF(C120=0, Parametri!$D$8, ABS(B120-C120)/(2*SQRT(3)))</f>
      </c>
      <c r="G120" s="6">
        <f>(A120-335)+135.8+(Parametri!$A$5/2)</f>
      </c>
      <c r="H120" s="6">
        <f>(E120-192)-('Dati (2)'!A120-Parametri!$A$11)+Parametri!$A$2</f>
      </c>
      <c r="I120" s="6">
        <f>F120</f>
      </c>
      <c r="J120" s="6">
        <f>Parametri!$D$8</f>
      </c>
    </row>
    <row x14ac:dyDescent="0.25" r="121" customHeight="1" ht="17.25">
      <c r="A121" s="4">
        <f>A120+100</f>
      </c>
      <c r="B121" s="2"/>
      <c r="C121" s="2"/>
      <c r="D121" s="5">
        <f>B121+2*E121</f>
      </c>
      <c r="E121" s="6">
        <v>1510</v>
      </c>
      <c r="F121" s="6">
        <f>IF(C121=0, Parametri!$D$8, ABS(B121-C121)/(2*SQRT(3)))</f>
      </c>
      <c r="G121" s="6">
        <f>(A121-335)+135.8+(Parametri!$A$5/2)</f>
      </c>
      <c r="H121" s="6">
        <f>(E121-192)-('Dati (2)'!A121-Parametri!$A$11)+Parametri!$A$2</f>
      </c>
      <c r="I121" s="6">
        <f>F121</f>
      </c>
      <c r="J121" s="6">
        <f>Parametri!$D$8</f>
      </c>
    </row>
    <row x14ac:dyDescent="0.25" r="122" customHeight="1" ht="17.25">
      <c r="A122" s="4">
        <f>A121+100</f>
      </c>
      <c r="B122" s="2"/>
      <c r="C122" s="2"/>
      <c r="D122" s="5">
        <f>B122+2*E122</f>
      </c>
      <c r="E122" s="6">
        <v>1609</v>
      </c>
      <c r="F122" s="6">
        <f>IF(C122=0, Parametri!$D$8, ABS(B122-C122)/(2*SQRT(3)))</f>
      </c>
      <c r="G122" s="6">
        <f>(A122-335)+135.8+(Parametri!$A$5/2)</f>
      </c>
      <c r="H122" s="6">
        <f>(E122-192)-('Dati (2)'!A122-Parametri!$A$11)+Parametri!$A$2</f>
      </c>
      <c r="I122" s="6">
        <f>F122</f>
      </c>
      <c r="J122" s="6">
        <f>Parametri!$D$8</f>
      </c>
    </row>
    <row x14ac:dyDescent="0.25" r="123" customHeight="1" ht="17.25">
      <c r="A123" s="4">
        <f>A122+100</f>
      </c>
      <c r="B123" s="2"/>
      <c r="C123" s="2"/>
      <c r="D123" s="5">
        <f>B123+2*E123</f>
      </c>
      <c r="E123" s="6">
        <v>1707</v>
      </c>
      <c r="F123" s="6">
        <f>IF(C123=0, Parametri!$D$8, ABS(B123-C123)/(2*SQRT(3)))</f>
      </c>
      <c r="G123" s="6">
        <f>(A123-335)+135.8+(Parametri!$A$5/2)</f>
      </c>
      <c r="H123" s="6">
        <f>(E123-192)-('Dati (2)'!A123-Parametri!$A$11)+Parametri!$A$2</f>
      </c>
      <c r="I123" s="6">
        <f>F123</f>
      </c>
      <c r="J123" s="6">
        <f>Parametri!$D$8</f>
      </c>
    </row>
    <row x14ac:dyDescent="0.25" r="124" customHeight="1" ht="17.25">
      <c r="A124" s="4">
        <f>A123+100</f>
      </c>
      <c r="B124" s="2"/>
      <c r="C124" s="2"/>
      <c r="D124" s="5">
        <f>B124+2*E124</f>
      </c>
      <c r="E124" s="6">
        <v>1803</v>
      </c>
      <c r="F124" s="6">
        <f>IF(C124=0, Parametri!$D$8, ABS(B124-C124)/(2*SQRT(3)))</f>
      </c>
      <c r="G124" s="6">
        <f>(A124-335)+135.8+(Parametri!$A$5/2)</f>
      </c>
      <c r="H124" s="6">
        <f>(E124-192)-('Dati (2)'!A124-Parametri!$A$11)+Parametri!$A$2</f>
      </c>
      <c r="I124" s="6">
        <f>F124</f>
      </c>
      <c r="J124" s="6">
        <f>Parametri!$D$8</f>
      </c>
    </row>
    <row x14ac:dyDescent="0.25" r="125" customHeight="1" ht="17.25">
      <c r="A125" s="4">
        <f>A124+100</f>
      </c>
      <c r="B125" s="2"/>
      <c r="C125" s="2"/>
      <c r="D125" s="5">
        <f>B125+2*E125</f>
      </c>
      <c r="E125" s="6">
        <v>1902</v>
      </c>
      <c r="F125" s="6">
        <f>IF(C125=0, Parametri!$D$8, ABS(B125-C125)/(2*SQRT(3)))</f>
      </c>
      <c r="G125" s="6">
        <f>(A125-335)+135.8+(Parametri!$A$5/2)</f>
      </c>
      <c r="H125" s="6">
        <f>(E125-192)-('Dati (2)'!A125-Parametri!$A$11)+Parametri!$A$2</f>
      </c>
      <c r="I125" s="6">
        <f>F125</f>
      </c>
      <c r="J125" s="6">
        <f>Parametri!$D$8</f>
      </c>
    </row>
    <row x14ac:dyDescent="0.25" r="126" customHeight="1" ht="17.25">
      <c r="A126" s="1"/>
      <c r="B126" s="2"/>
      <c r="C126" s="2"/>
      <c r="D126" s="3"/>
      <c r="E126" s="1"/>
      <c r="F126" s="1"/>
      <c r="G126" s="1"/>
      <c r="H126" s="6"/>
      <c r="I126" s="1"/>
      <c r="J126" s="1"/>
    </row>
    <row x14ac:dyDescent="0.25" r="127" customHeight="1" ht="17.25">
      <c r="A127" s="1"/>
      <c r="B127" s="2"/>
      <c r="C127" s="2"/>
      <c r="D127" s="3"/>
      <c r="E127" s="1"/>
      <c r="F127" s="1"/>
      <c r="G127" s="1"/>
      <c r="H127" s="6"/>
      <c r="I127" s="1"/>
      <c r="J127" s="1"/>
    </row>
    <row x14ac:dyDescent="0.25" r="128" customHeight="1" ht="17.25">
      <c r="A128" s="1"/>
      <c r="B128" s="2"/>
      <c r="C128" s="2"/>
      <c r="D128" s="3"/>
      <c r="E128" s="1"/>
      <c r="F128" s="1"/>
      <c r="G128" s="1"/>
      <c r="H128" s="6"/>
      <c r="I128" s="1"/>
      <c r="J128" s="1"/>
    </row>
    <row x14ac:dyDescent="0.25" r="129" customHeight="1" ht="17.25">
      <c r="A129" s="1"/>
      <c r="B129" s="2"/>
      <c r="C129" s="2"/>
      <c r="D129" s="3"/>
      <c r="E129" s="1"/>
      <c r="F129" s="1"/>
      <c r="G129" s="1"/>
      <c r="H129" s="6"/>
      <c r="I129" s="1"/>
      <c r="J129" s="1"/>
    </row>
    <row x14ac:dyDescent="0.25" r="130" customHeight="1" ht="17.25">
      <c r="A130" s="1"/>
      <c r="B130" s="2"/>
      <c r="C130" s="2"/>
      <c r="D130" s="3"/>
      <c r="E130" s="1"/>
      <c r="F130" s="1"/>
      <c r="G130" s="1"/>
      <c r="H130" s="6"/>
      <c r="I130" s="1"/>
      <c r="J13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Parametri</vt:lpstr>
      <vt:lpstr>Datisium</vt:lpstr>
      <vt:lpstr>Dati</vt:lpstr>
      <vt:lpstr>Dati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2026-10-19T16:33:03.962Z</dcterms:created>
  <dcterms:modified xsi:type="dcterms:W3CDTF">2026-10-19T16:33:03.962Z</dcterms:modified>
</cp:coreProperties>
</file>