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ricm\Desktop\"/>
    </mc:Choice>
  </mc:AlternateContent>
  <xr:revisionPtr revIDLastSave="0" documentId="13_ncr:2001_{6F145F87-FF90-4AFC-B3DC-073C5EEB0D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ametri" sheetId="1" r:id="rId1"/>
    <sheet name="Dati" sheetId="2" r:id="rId2"/>
    <sheet name="Dati (2)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H46" i="2" s="1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2" i="2"/>
  <c r="D46" i="2"/>
  <c r="I46" i="2"/>
  <c r="K46" i="2"/>
  <c r="K52" i="2" l="1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41" i="2"/>
  <c r="K42" i="2"/>
  <c r="K43" i="2"/>
  <c r="K44" i="2"/>
  <c r="K45" i="2"/>
  <c r="K47" i="2"/>
  <c r="K48" i="2"/>
  <c r="K49" i="2"/>
  <c r="K50" i="2"/>
  <c r="K5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" i="2"/>
  <c r="A3" i="2"/>
  <c r="A4" i="2" s="1"/>
  <c r="C2" i="1"/>
  <c r="B2" i="1"/>
  <c r="C5" i="1"/>
  <c r="B5" i="1"/>
  <c r="F117" i="2"/>
  <c r="F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2" i="3"/>
  <c r="D6" i="3"/>
  <c r="J125" i="3"/>
  <c r="F125" i="3"/>
  <c r="I125" i="3" s="1"/>
  <c r="D125" i="3"/>
  <c r="J124" i="3"/>
  <c r="I124" i="3"/>
  <c r="F124" i="3"/>
  <c r="D124" i="3"/>
  <c r="J123" i="3"/>
  <c r="I123" i="3"/>
  <c r="F123" i="3"/>
  <c r="D123" i="3"/>
  <c r="J122" i="3"/>
  <c r="F122" i="3"/>
  <c r="I122" i="3" s="1"/>
  <c r="D122" i="3"/>
  <c r="J121" i="3"/>
  <c r="F121" i="3"/>
  <c r="I121" i="3" s="1"/>
  <c r="D121" i="3"/>
  <c r="J120" i="3"/>
  <c r="F120" i="3"/>
  <c r="I120" i="3" s="1"/>
  <c r="D120" i="3"/>
  <c r="J119" i="3"/>
  <c r="I119" i="3"/>
  <c r="F119" i="3"/>
  <c r="D119" i="3"/>
  <c r="J118" i="3"/>
  <c r="F118" i="3"/>
  <c r="I118" i="3" s="1"/>
  <c r="D118" i="3"/>
  <c r="J117" i="3"/>
  <c r="I117" i="3"/>
  <c r="F117" i="3"/>
  <c r="J116" i="3"/>
  <c r="F116" i="3"/>
  <c r="I116" i="3" s="1"/>
  <c r="J115" i="3"/>
  <c r="F115" i="3"/>
  <c r="I115" i="3" s="1"/>
  <c r="J114" i="3"/>
  <c r="F114" i="3"/>
  <c r="I114" i="3" s="1"/>
  <c r="J113" i="3"/>
  <c r="I113" i="3"/>
  <c r="F113" i="3"/>
  <c r="J112" i="3"/>
  <c r="F112" i="3"/>
  <c r="I112" i="3" s="1"/>
  <c r="J111" i="3"/>
  <c r="I111" i="3"/>
  <c r="F111" i="3"/>
  <c r="J110" i="3"/>
  <c r="F110" i="3"/>
  <c r="I110" i="3" s="1"/>
  <c r="J109" i="3"/>
  <c r="F109" i="3"/>
  <c r="I109" i="3" s="1"/>
  <c r="J108" i="3"/>
  <c r="F108" i="3"/>
  <c r="I108" i="3" s="1"/>
  <c r="J107" i="3"/>
  <c r="I107" i="3"/>
  <c r="F107" i="3"/>
  <c r="J106" i="3"/>
  <c r="F106" i="3"/>
  <c r="I106" i="3" s="1"/>
  <c r="J105" i="3"/>
  <c r="I105" i="3"/>
  <c r="F105" i="3"/>
  <c r="J104" i="3"/>
  <c r="F104" i="3"/>
  <c r="I104" i="3" s="1"/>
  <c r="J103" i="3"/>
  <c r="F103" i="3"/>
  <c r="I103" i="3" s="1"/>
  <c r="J102" i="3"/>
  <c r="F102" i="3"/>
  <c r="I102" i="3" s="1"/>
  <c r="J101" i="3"/>
  <c r="I101" i="3"/>
  <c r="F101" i="3"/>
  <c r="J100" i="3"/>
  <c r="F100" i="3"/>
  <c r="I100" i="3" s="1"/>
  <c r="J99" i="3"/>
  <c r="I99" i="3"/>
  <c r="F99" i="3"/>
  <c r="J98" i="3"/>
  <c r="F98" i="3"/>
  <c r="I98" i="3" s="1"/>
  <c r="J97" i="3"/>
  <c r="F97" i="3"/>
  <c r="I97" i="3" s="1"/>
  <c r="J96" i="3"/>
  <c r="F96" i="3"/>
  <c r="I96" i="3" s="1"/>
  <c r="J95" i="3"/>
  <c r="I95" i="3"/>
  <c r="F95" i="3"/>
  <c r="J94" i="3"/>
  <c r="F94" i="3"/>
  <c r="I94" i="3" s="1"/>
  <c r="J93" i="3"/>
  <c r="I93" i="3"/>
  <c r="F93" i="3"/>
  <c r="J92" i="3"/>
  <c r="F92" i="3"/>
  <c r="I92" i="3" s="1"/>
  <c r="J91" i="3"/>
  <c r="F91" i="3"/>
  <c r="I91" i="3" s="1"/>
  <c r="J90" i="3"/>
  <c r="F90" i="3"/>
  <c r="I90" i="3" s="1"/>
  <c r="J89" i="3"/>
  <c r="F89" i="3"/>
  <c r="I89" i="3" s="1"/>
  <c r="J88" i="3"/>
  <c r="F88" i="3"/>
  <c r="I88" i="3" s="1"/>
  <c r="J87" i="3"/>
  <c r="I87" i="3"/>
  <c r="F87" i="3"/>
  <c r="J86" i="3"/>
  <c r="F86" i="3"/>
  <c r="I86" i="3" s="1"/>
  <c r="J85" i="3"/>
  <c r="I85" i="3"/>
  <c r="F85" i="3"/>
  <c r="J84" i="3"/>
  <c r="F84" i="3"/>
  <c r="I84" i="3" s="1"/>
  <c r="J83" i="3"/>
  <c r="F83" i="3"/>
  <c r="I83" i="3" s="1"/>
  <c r="J82" i="3"/>
  <c r="F82" i="3"/>
  <c r="I82" i="3" s="1"/>
  <c r="J81" i="3"/>
  <c r="I81" i="3"/>
  <c r="F81" i="3"/>
  <c r="J80" i="3"/>
  <c r="F80" i="3"/>
  <c r="I80" i="3" s="1"/>
  <c r="J79" i="3"/>
  <c r="F79" i="3"/>
  <c r="I79" i="3" s="1"/>
  <c r="J78" i="3"/>
  <c r="F78" i="3"/>
  <c r="I78" i="3" s="1"/>
  <c r="J77" i="3"/>
  <c r="F77" i="3"/>
  <c r="I77" i="3" s="1"/>
  <c r="J76" i="3"/>
  <c r="F76" i="3"/>
  <c r="I76" i="3" s="1"/>
  <c r="J75" i="3"/>
  <c r="I75" i="3"/>
  <c r="F75" i="3"/>
  <c r="J74" i="3"/>
  <c r="F74" i="3"/>
  <c r="I74" i="3" s="1"/>
  <c r="J73" i="3"/>
  <c r="I73" i="3"/>
  <c r="F73" i="3"/>
  <c r="J72" i="3"/>
  <c r="F72" i="3"/>
  <c r="I72" i="3" s="1"/>
  <c r="J71" i="3"/>
  <c r="I71" i="3"/>
  <c r="F71" i="3"/>
  <c r="J70" i="3"/>
  <c r="F70" i="3"/>
  <c r="I70" i="3" s="1"/>
  <c r="J69" i="3"/>
  <c r="I69" i="3"/>
  <c r="F69" i="3"/>
  <c r="J68" i="3"/>
  <c r="I68" i="3"/>
  <c r="F68" i="3"/>
  <c r="J67" i="3"/>
  <c r="F67" i="3"/>
  <c r="I67" i="3" s="1"/>
  <c r="J66" i="3"/>
  <c r="F66" i="3"/>
  <c r="I66" i="3" s="1"/>
  <c r="J65" i="3"/>
  <c r="I65" i="3"/>
  <c r="F65" i="3"/>
  <c r="J64" i="3"/>
  <c r="I64" i="3"/>
  <c r="F64" i="3"/>
  <c r="J63" i="3"/>
  <c r="I63" i="3"/>
  <c r="F63" i="3"/>
  <c r="J62" i="3"/>
  <c r="F62" i="3"/>
  <c r="I62" i="3" s="1"/>
  <c r="J61" i="3"/>
  <c r="F61" i="3"/>
  <c r="I61" i="3" s="1"/>
  <c r="J60" i="3"/>
  <c r="I60" i="3"/>
  <c r="F60" i="3"/>
  <c r="J59" i="3"/>
  <c r="I59" i="3"/>
  <c r="F59" i="3"/>
  <c r="J58" i="3"/>
  <c r="F58" i="3"/>
  <c r="I58" i="3" s="1"/>
  <c r="J57" i="3"/>
  <c r="I57" i="3"/>
  <c r="F57" i="3"/>
  <c r="J56" i="3"/>
  <c r="I56" i="3"/>
  <c r="F56" i="3"/>
  <c r="J55" i="3"/>
  <c r="F55" i="3"/>
  <c r="I55" i="3" s="1"/>
  <c r="J54" i="3"/>
  <c r="F54" i="3"/>
  <c r="I54" i="3" s="1"/>
  <c r="J53" i="3"/>
  <c r="I53" i="3"/>
  <c r="F53" i="3"/>
  <c r="J52" i="3"/>
  <c r="I52" i="3"/>
  <c r="F52" i="3"/>
  <c r="J51" i="3"/>
  <c r="I51" i="3"/>
  <c r="F51" i="3"/>
  <c r="J50" i="3"/>
  <c r="F50" i="3"/>
  <c r="I50" i="3" s="1"/>
  <c r="J49" i="3"/>
  <c r="I49" i="3"/>
  <c r="F49" i="3"/>
  <c r="J48" i="3"/>
  <c r="F48" i="3"/>
  <c r="I48" i="3" s="1"/>
  <c r="J47" i="3"/>
  <c r="I47" i="3"/>
  <c r="F47" i="3"/>
  <c r="J46" i="3"/>
  <c r="F46" i="3"/>
  <c r="I46" i="3" s="1"/>
  <c r="J45" i="3"/>
  <c r="I45" i="3"/>
  <c r="F45" i="3"/>
  <c r="J44" i="3"/>
  <c r="F44" i="3"/>
  <c r="I44" i="3" s="1"/>
  <c r="J43" i="3"/>
  <c r="I43" i="3"/>
  <c r="F43" i="3"/>
  <c r="J42" i="3"/>
  <c r="F42" i="3"/>
  <c r="I42" i="3" s="1"/>
  <c r="J41" i="3"/>
  <c r="I41" i="3"/>
  <c r="F41" i="3"/>
  <c r="J40" i="3"/>
  <c r="F40" i="3"/>
  <c r="I40" i="3" s="1"/>
  <c r="J39" i="3"/>
  <c r="I39" i="3"/>
  <c r="F39" i="3"/>
  <c r="J38" i="3"/>
  <c r="F38" i="3"/>
  <c r="I38" i="3" s="1"/>
  <c r="J37" i="3"/>
  <c r="I37" i="3"/>
  <c r="F37" i="3"/>
  <c r="J36" i="3"/>
  <c r="F36" i="3"/>
  <c r="I36" i="3" s="1"/>
  <c r="J35" i="3"/>
  <c r="I35" i="3"/>
  <c r="F35" i="3"/>
  <c r="J34" i="3"/>
  <c r="F34" i="3"/>
  <c r="I34" i="3" s="1"/>
  <c r="J33" i="3"/>
  <c r="I33" i="3"/>
  <c r="F33" i="3"/>
  <c r="J32" i="3"/>
  <c r="F32" i="3"/>
  <c r="I32" i="3" s="1"/>
  <c r="J31" i="3"/>
  <c r="I31" i="3"/>
  <c r="F31" i="3"/>
  <c r="J30" i="3"/>
  <c r="F30" i="3"/>
  <c r="I30" i="3" s="1"/>
  <c r="J29" i="3"/>
  <c r="I29" i="3"/>
  <c r="F29" i="3"/>
  <c r="J28" i="3"/>
  <c r="F28" i="3"/>
  <c r="I28" i="3" s="1"/>
  <c r="J27" i="3"/>
  <c r="I27" i="3"/>
  <c r="F27" i="3"/>
  <c r="J26" i="3"/>
  <c r="F26" i="3"/>
  <c r="I26" i="3" s="1"/>
  <c r="J25" i="3"/>
  <c r="I25" i="3"/>
  <c r="F25" i="3"/>
  <c r="J24" i="3"/>
  <c r="F24" i="3"/>
  <c r="I24" i="3" s="1"/>
  <c r="J23" i="3"/>
  <c r="I23" i="3"/>
  <c r="F23" i="3"/>
  <c r="J22" i="3"/>
  <c r="F22" i="3"/>
  <c r="I22" i="3" s="1"/>
  <c r="J21" i="3"/>
  <c r="I21" i="3"/>
  <c r="F21" i="3"/>
  <c r="D21" i="3"/>
  <c r="J20" i="3"/>
  <c r="F20" i="3"/>
  <c r="I20" i="3" s="1"/>
  <c r="J19" i="3"/>
  <c r="I19" i="3"/>
  <c r="F19" i="3"/>
  <c r="J18" i="3"/>
  <c r="F18" i="3"/>
  <c r="I18" i="3" s="1"/>
  <c r="J17" i="3"/>
  <c r="I17" i="3"/>
  <c r="F17" i="3"/>
  <c r="J16" i="3"/>
  <c r="F16" i="3"/>
  <c r="I16" i="3" s="1"/>
  <c r="J15" i="3"/>
  <c r="I15" i="3"/>
  <c r="F15" i="3"/>
  <c r="J14" i="3"/>
  <c r="F14" i="3"/>
  <c r="I14" i="3" s="1"/>
  <c r="J13" i="3"/>
  <c r="I13" i="3"/>
  <c r="F13" i="3"/>
  <c r="J12" i="3"/>
  <c r="F12" i="3"/>
  <c r="I12" i="3" s="1"/>
  <c r="J11" i="3"/>
  <c r="I11" i="3"/>
  <c r="F11" i="3"/>
  <c r="J10" i="3"/>
  <c r="F10" i="3"/>
  <c r="I10" i="3" s="1"/>
  <c r="D10" i="3"/>
  <c r="J9" i="3"/>
  <c r="I9" i="3"/>
  <c r="F9" i="3"/>
  <c r="J8" i="3"/>
  <c r="F8" i="3"/>
  <c r="I8" i="3" s="1"/>
  <c r="J7" i="3"/>
  <c r="I7" i="3"/>
  <c r="F7" i="3"/>
  <c r="J6" i="3"/>
  <c r="F6" i="3"/>
  <c r="I6" i="3" s="1"/>
  <c r="J5" i="3"/>
  <c r="I5" i="3"/>
  <c r="F5" i="3"/>
  <c r="D5" i="3"/>
  <c r="J4" i="3"/>
  <c r="F4" i="3"/>
  <c r="I4" i="3" s="1"/>
  <c r="D4" i="3"/>
  <c r="J3" i="3"/>
  <c r="I3" i="3"/>
  <c r="F3" i="3"/>
  <c r="D3" i="3"/>
  <c r="A3" i="3"/>
  <c r="A4" i="3" s="1"/>
  <c r="J2" i="3"/>
  <c r="F2" i="3"/>
  <c r="I2" i="3" s="1"/>
  <c r="D2" i="3"/>
  <c r="F3" i="2" l="1"/>
  <c r="A5" i="2"/>
  <c r="F5" i="2" s="1"/>
  <c r="F4" i="2"/>
  <c r="A5" i="3"/>
  <c r="A6" i="2" l="1"/>
  <c r="F6" i="2" s="1"/>
  <c r="A6" i="3"/>
  <c r="A7" i="2" l="1"/>
  <c r="F7" i="2"/>
  <c r="A8" i="2"/>
  <c r="A7" i="3"/>
  <c r="A9" i="2" l="1"/>
  <c r="F8" i="2"/>
  <c r="A8" i="3"/>
  <c r="A10" i="2" l="1"/>
  <c r="F9" i="2"/>
  <c r="A9" i="3"/>
  <c r="A11" i="2" l="1"/>
  <c r="F10" i="2"/>
  <c r="A10" i="3"/>
  <c r="F11" i="2" l="1"/>
  <c r="A12" i="2"/>
  <c r="A11" i="3"/>
  <c r="F12" i="2" l="1"/>
  <c r="A13" i="2"/>
  <c r="A12" i="3"/>
  <c r="F13" i="2" l="1"/>
  <c r="A14" i="2"/>
  <c r="A13" i="3"/>
  <c r="A15" i="2" l="1"/>
  <c r="F14" i="2"/>
  <c r="A14" i="3"/>
  <c r="A16" i="2" l="1"/>
  <c r="F15" i="2"/>
  <c r="A15" i="3"/>
  <c r="F16" i="2" l="1"/>
  <c r="A17" i="2"/>
  <c r="A16" i="3"/>
  <c r="A18" i="2" l="1"/>
  <c r="F17" i="2"/>
  <c r="A17" i="3"/>
  <c r="F18" i="2" l="1"/>
  <c r="A19" i="2"/>
  <c r="A18" i="3"/>
  <c r="F19" i="2" l="1"/>
  <c r="A20" i="2"/>
  <c r="A19" i="3"/>
  <c r="F20" i="2" l="1"/>
  <c r="A21" i="2"/>
  <c r="A20" i="3"/>
  <c r="F21" i="2" l="1"/>
  <c r="A22" i="2"/>
  <c r="A21" i="3"/>
  <c r="A23" i="2" l="1"/>
  <c r="F22" i="2"/>
  <c r="A22" i="3"/>
  <c r="A24" i="2" l="1"/>
  <c r="F23" i="2"/>
  <c r="A23" i="3"/>
  <c r="F24" i="2" l="1"/>
  <c r="A25" i="2"/>
  <c r="A24" i="3"/>
  <c r="A26" i="2" l="1"/>
  <c r="F25" i="2"/>
  <c r="A25" i="3"/>
  <c r="F26" i="2" l="1"/>
  <c r="A27" i="2"/>
  <c r="A26" i="3"/>
  <c r="F27" i="2" l="1"/>
  <c r="A28" i="2"/>
  <c r="A27" i="3"/>
  <c r="F28" i="2" l="1"/>
  <c r="A29" i="2"/>
  <c r="A28" i="3"/>
  <c r="F29" i="2" l="1"/>
  <c r="A30" i="2"/>
  <c r="A29" i="3"/>
  <c r="F30" i="2" l="1"/>
  <c r="A31" i="2"/>
  <c r="A30" i="3"/>
  <c r="F31" i="2" l="1"/>
  <c r="A32" i="2"/>
  <c r="A31" i="3"/>
  <c r="F32" i="2" l="1"/>
  <c r="A33" i="2"/>
  <c r="A32" i="3"/>
  <c r="F33" i="2" l="1"/>
  <c r="A34" i="2"/>
  <c r="A33" i="3"/>
  <c r="A35" i="2" l="1"/>
  <c r="A36" i="2" s="1"/>
  <c r="A37" i="2" s="1"/>
  <c r="F34" i="2"/>
  <c r="A34" i="3"/>
  <c r="A38" i="2" l="1"/>
  <c r="F37" i="2"/>
  <c r="F36" i="2"/>
  <c r="F35" i="2"/>
  <c r="A35" i="3"/>
  <c r="F38" i="2" l="1"/>
  <c r="A39" i="2"/>
  <c r="A36" i="3"/>
  <c r="A40" i="2" l="1"/>
  <c r="F39" i="2"/>
  <c r="A37" i="3"/>
  <c r="F40" i="2" l="1"/>
  <c r="A41" i="2"/>
  <c r="A38" i="3"/>
  <c r="F41" i="2" l="1"/>
  <c r="A42" i="2"/>
  <c r="A39" i="3"/>
  <c r="A43" i="2" l="1"/>
  <c r="F42" i="2"/>
  <c r="A40" i="3"/>
  <c r="A44" i="2" l="1"/>
  <c r="F43" i="2"/>
  <c r="A41" i="3"/>
  <c r="A45" i="2" l="1"/>
  <c r="F44" i="2"/>
  <c r="A42" i="3"/>
  <c r="F45" i="2" l="1"/>
  <c r="A46" i="2"/>
  <c r="A43" i="3"/>
  <c r="A47" i="2" l="1"/>
  <c r="F46" i="2"/>
  <c r="G46" i="2"/>
  <c r="A44" i="3"/>
  <c r="A48" i="2" l="1"/>
  <c r="F47" i="2"/>
  <c r="A45" i="3"/>
  <c r="A49" i="2" l="1"/>
  <c r="F48" i="2"/>
  <c r="A46" i="3"/>
  <c r="A50" i="2" l="1"/>
  <c r="F49" i="2"/>
  <c r="A47" i="3"/>
  <c r="A51" i="2" l="1"/>
  <c r="F50" i="2"/>
  <c r="A48" i="3"/>
  <c r="A52" i="2" l="1"/>
  <c r="F51" i="2"/>
  <c r="A49" i="3"/>
  <c r="A53" i="2" l="1"/>
  <c r="F52" i="2"/>
  <c r="A50" i="3"/>
  <c r="A54" i="2" l="1"/>
  <c r="F53" i="2"/>
  <c r="A51" i="3"/>
  <c r="A55" i="2" l="1"/>
  <c r="F54" i="2"/>
  <c r="A52" i="3"/>
  <c r="A56" i="2" l="1"/>
  <c r="F55" i="2"/>
  <c r="A53" i="3"/>
  <c r="A57" i="2" l="1"/>
  <c r="F56" i="2"/>
  <c r="A54" i="3"/>
  <c r="A58" i="2" l="1"/>
  <c r="F57" i="2"/>
  <c r="A55" i="3"/>
  <c r="A59" i="2" l="1"/>
  <c r="F58" i="2"/>
  <c r="A56" i="3"/>
  <c r="A60" i="2" l="1"/>
  <c r="F59" i="2"/>
  <c r="A57" i="3"/>
  <c r="A61" i="2" l="1"/>
  <c r="F60" i="2"/>
  <c r="A58" i="3"/>
  <c r="A62" i="2" l="1"/>
  <c r="F61" i="2"/>
  <c r="A59" i="3"/>
  <c r="A63" i="2" l="1"/>
  <c r="F62" i="2"/>
  <c r="A60" i="3"/>
  <c r="A64" i="2" l="1"/>
  <c r="F63" i="2"/>
  <c r="A61" i="3"/>
  <c r="A65" i="2" l="1"/>
  <c r="F64" i="2"/>
  <c r="A62" i="3"/>
  <c r="A66" i="2" l="1"/>
  <c r="F65" i="2"/>
  <c r="A63" i="3"/>
  <c r="A67" i="2" l="1"/>
  <c r="F66" i="2"/>
  <c r="A64" i="3"/>
  <c r="A68" i="2" l="1"/>
  <c r="F67" i="2"/>
  <c r="A65" i="3"/>
  <c r="A69" i="2" l="1"/>
  <c r="F68" i="2"/>
  <c r="A66" i="3"/>
  <c r="A70" i="2" l="1"/>
  <c r="F69" i="2"/>
  <c r="A67" i="3"/>
  <c r="A71" i="2" l="1"/>
  <c r="F70" i="2"/>
  <c r="A68" i="3"/>
  <c r="A72" i="2" l="1"/>
  <c r="F71" i="2"/>
  <c r="A69" i="3"/>
  <c r="A73" i="2" l="1"/>
  <c r="F72" i="2"/>
  <c r="A70" i="3"/>
  <c r="A74" i="2" l="1"/>
  <c r="F73" i="2"/>
  <c r="A71" i="3"/>
  <c r="A75" i="2" l="1"/>
  <c r="F74" i="2"/>
  <c r="A72" i="3"/>
  <c r="A76" i="2" l="1"/>
  <c r="F75" i="2"/>
  <c r="A73" i="3"/>
  <c r="A77" i="2" l="1"/>
  <c r="F76" i="2"/>
  <c r="A74" i="3"/>
  <c r="A78" i="2" l="1"/>
  <c r="F77" i="2"/>
  <c r="A75" i="3"/>
  <c r="F78" i="2" l="1"/>
  <c r="A79" i="2"/>
  <c r="A76" i="3"/>
  <c r="A80" i="2" l="1"/>
  <c r="F79" i="2"/>
  <c r="A77" i="3"/>
  <c r="A81" i="2" l="1"/>
  <c r="F80" i="2"/>
  <c r="A78" i="3"/>
  <c r="A82" i="2" l="1"/>
  <c r="F81" i="2"/>
  <c r="A79" i="3"/>
  <c r="A83" i="2" l="1"/>
  <c r="F82" i="2"/>
  <c r="A80" i="3"/>
  <c r="A84" i="2" l="1"/>
  <c r="F83" i="2"/>
  <c r="A81" i="3"/>
  <c r="A85" i="2" l="1"/>
  <c r="F84" i="2"/>
  <c r="A82" i="3"/>
  <c r="A86" i="2" l="1"/>
  <c r="F85" i="2"/>
  <c r="A83" i="3"/>
  <c r="A87" i="2" l="1"/>
  <c r="F86" i="2"/>
  <c r="A84" i="3"/>
  <c r="A88" i="2" l="1"/>
  <c r="F87" i="2"/>
  <c r="A85" i="3"/>
  <c r="A89" i="2" l="1"/>
  <c r="F88" i="2"/>
  <c r="A86" i="3"/>
  <c r="A90" i="2" l="1"/>
  <c r="F89" i="2"/>
  <c r="A87" i="3"/>
  <c r="A91" i="2" l="1"/>
  <c r="F90" i="2"/>
  <c r="A88" i="3"/>
  <c r="A92" i="2" l="1"/>
  <c r="F91" i="2"/>
  <c r="A89" i="3"/>
  <c r="A93" i="2" l="1"/>
  <c r="F92" i="2"/>
  <c r="A90" i="3"/>
  <c r="A94" i="2" l="1"/>
  <c r="F93" i="2"/>
  <c r="A91" i="3"/>
  <c r="A95" i="2" l="1"/>
  <c r="F94" i="2"/>
  <c r="A92" i="3"/>
  <c r="A96" i="2" l="1"/>
  <c r="F95" i="2"/>
  <c r="A93" i="3"/>
  <c r="A97" i="2" l="1"/>
  <c r="F96" i="2"/>
  <c r="A94" i="3"/>
  <c r="A98" i="2" l="1"/>
  <c r="F97" i="2"/>
  <c r="A95" i="3"/>
  <c r="A99" i="2" l="1"/>
  <c r="F98" i="2"/>
  <c r="A96" i="3"/>
  <c r="A100" i="2" l="1"/>
  <c r="F99" i="2"/>
  <c r="A97" i="3"/>
  <c r="A101" i="2" l="1"/>
  <c r="F100" i="2"/>
  <c r="A98" i="3"/>
  <c r="A102" i="2" l="1"/>
  <c r="F101" i="2"/>
  <c r="A99" i="3"/>
  <c r="A103" i="2" l="1"/>
  <c r="F102" i="2"/>
  <c r="A100" i="3"/>
  <c r="A104" i="2" l="1"/>
  <c r="F103" i="2"/>
  <c r="A101" i="3"/>
  <c r="A105" i="2" l="1"/>
  <c r="F104" i="2"/>
  <c r="A102" i="3"/>
  <c r="A106" i="2" l="1"/>
  <c r="F105" i="2"/>
  <c r="A103" i="3"/>
  <c r="A107" i="2" l="1"/>
  <c r="F106" i="2"/>
  <c r="A104" i="3"/>
  <c r="A108" i="2" l="1"/>
  <c r="F107" i="2"/>
  <c r="A105" i="3"/>
  <c r="A109" i="2" l="1"/>
  <c r="F108" i="2"/>
  <c r="A106" i="3"/>
  <c r="A110" i="2" l="1"/>
  <c r="F109" i="2"/>
  <c r="A107" i="3"/>
  <c r="A111" i="2" l="1"/>
  <c r="F110" i="2"/>
  <c r="A108" i="3"/>
  <c r="A112" i="2" l="1"/>
  <c r="F111" i="2"/>
  <c r="A109" i="3"/>
  <c r="A113" i="2" l="1"/>
  <c r="F112" i="2"/>
  <c r="A110" i="3"/>
  <c r="A114" i="2" l="1"/>
  <c r="F113" i="2"/>
  <c r="A111" i="3"/>
  <c r="A115" i="2" l="1"/>
  <c r="F114" i="2"/>
  <c r="A112" i="3"/>
  <c r="A116" i="2" l="1"/>
  <c r="F116" i="2" s="1"/>
  <c r="F115" i="2"/>
  <c r="A113" i="3"/>
  <c r="A114" i="3" l="1"/>
  <c r="A115" i="3" l="1"/>
  <c r="A116" i="3" l="1"/>
  <c r="A117" i="3" l="1"/>
  <c r="A118" i="3" l="1"/>
  <c r="A119" i="3" l="1"/>
  <c r="A120" i="3" l="1"/>
  <c r="A121" i="3" l="1"/>
  <c r="A122" i="3" l="1"/>
  <c r="A123" i="3" l="1"/>
  <c r="A124" i="3" l="1"/>
  <c r="A125" i="3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D11" i="1"/>
  <c r="D8" i="1"/>
  <c r="H91" i="2" s="1"/>
  <c r="C11" i="1"/>
  <c r="C8" i="1"/>
  <c r="H97" i="2" l="1"/>
  <c r="H61" i="2"/>
  <c r="I3" i="2"/>
  <c r="I9" i="2"/>
  <c r="I15" i="2"/>
  <c r="I21" i="2"/>
  <c r="I27" i="2"/>
  <c r="I33" i="2"/>
  <c r="I39" i="2"/>
  <c r="I45" i="2"/>
  <c r="I51" i="2"/>
  <c r="I57" i="2"/>
  <c r="I63" i="2"/>
  <c r="I69" i="2"/>
  <c r="I75" i="2"/>
  <c r="I81" i="2"/>
  <c r="I87" i="2"/>
  <c r="I93" i="2"/>
  <c r="I99" i="2"/>
  <c r="I105" i="2"/>
  <c r="I111" i="2"/>
  <c r="I117" i="2"/>
  <c r="H8" i="2"/>
  <c r="H14" i="2"/>
  <c r="H20" i="2"/>
  <c r="H26" i="2"/>
  <c r="H32" i="2"/>
  <c r="H38" i="2"/>
  <c r="H44" i="2"/>
  <c r="H50" i="2"/>
  <c r="H56" i="2"/>
  <c r="H62" i="2"/>
  <c r="H68" i="2"/>
  <c r="H74" i="2"/>
  <c r="H80" i="2"/>
  <c r="H86" i="2"/>
  <c r="H92" i="2"/>
  <c r="H98" i="2"/>
  <c r="H104" i="2"/>
  <c r="H110" i="2"/>
  <c r="H116" i="2"/>
  <c r="I4" i="2"/>
  <c r="I10" i="2"/>
  <c r="I16" i="2"/>
  <c r="I22" i="2"/>
  <c r="I28" i="2"/>
  <c r="I34" i="2"/>
  <c r="I40" i="2"/>
  <c r="I52" i="2"/>
  <c r="I58" i="2"/>
  <c r="I64" i="2"/>
  <c r="I70" i="2"/>
  <c r="I76" i="2"/>
  <c r="I82" i="2"/>
  <c r="I88" i="2"/>
  <c r="I94" i="2"/>
  <c r="I100" i="2"/>
  <c r="I106" i="2"/>
  <c r="I112" i="2"/>
  <c r="H3" i="2"/>
  <c r="H9" i="2"/>
  <c r="H15" i="2"/>
  <c r="H21" i="2"/>
  <c r="H27" i="2"/>
  <c r="H33" i="2"/>
  <c r="H39" i="2"/>
  <c r="H45" i="2"/>
  <c r="H51" i="2"/>
  <c r="H57" i="2"/>
  <c r="H63" i="2"/>
  <c r="H69" i="2"/>
  <c r="H75" i="2"/>
  <c r="H81" i="2"/>
  <c r="H87" i="2"/>
  <c r="H93" i="2"/>
  <c r="H99" i="2"/>
  <c r="H105" i="2"/>
  <c r="H111" i="2"/>
  <c r="H117" i="2"/>
  <c r="I5" i="2"/>
  <c r="I11" i="2"/>
  <c r="I17" i="2"/>
  <c r="I23" i="2"/>
  <c r="I29" i="2"/>
  <c r="I35" i="2"/>
  <c r="I41" i="2"/>
  <c r="I47" i="2"/>
  <c r="I53" i="2"/>
  <c r="I59" i="2"/>
  <c r="I65" i="2"/>
  <c r="I71" i="2"/>
  <c r="I77" i="2"/>
  <c r="I83" i="2"/>
  <c r="I89" i="2"/>
  <c r="I95" i="2"/>
  <c r="I101" i="2"/>
  <c r="I107" i="2"/>
  <c r="I113" i="2"/>
  <c r="H4" i="2"/>
  <c r="H10" i="2"/>
  <c r="H16" i="2"/>
  <c r="H22" i="2"/>
  <c r="H28" i="2"/>
  <c r="H34" i="2"/>
  <c r="H40" i="2"/>
  <c r="H52" i="2"/>
  <c r="H58" i="2"/>
  <c r="H64" i="2"/>
  <c r="H70" i="2"/>
  <c r="H76" i="2"/>
  <c r="H82" i="2"/>
  <c r="H88" i="2"/>
  <c r="H94" i="2"/>
  <c r="H100" i="2"/>
  <c r="H106" i="2"/>
  <c r="H112" i="2"/>
  <c r="I2" i="2"/>
  <c r="H6" i="2"/>
  <c r="H18" i="2"/>
  <c r="H30" i="2"/>
  <c r="H42" i="2"/>
  <c r="H54" i="2"/>
  <c r="H66" i="2"/>
  <c r="H78" i="2"/>
  <c r="H90" i="2"/>
  <c r="H102" i="2"/>
  <c r="H114" i="2"/>
  <c r="I8" i="2"/>
  <c r="I14" i="2"/>
  <c r="I20" i="2"/>
  <c r="I26" i="2"/>
  <c r="I32" i="2"/>
  <c r="I38" i="2"/>
  <c r="I44" i="2"/>
  <c r="I50" i="2"/>
  <c r="I56" i="2"/>
  <c r="I62" i="2"/>
  <c r="I68" i="2"/>
  <c r="I74" i="2"/>
  <c r="I80" i="2"/>
  <c r="I86" i="2"/>
  <c r="I92" i="2"/>
  <c r="I98" i="2"/>
  <c r="I104" i="2"/>
  <c r="I110" i="2"/>
  <c r="I116" i="2"/>
  <c r="H7" i="2"/>
  <c r="H13" i="2"/>
  <c r="H19" i="2"/>
  <c r="H25" i="2"/>
  <c r="H31" i="2"/>
  <c r="H37" i="2"/>
  <c r="H43" i="2"/>
  <c r="H49" i="2"/>
  <c r="H55" i="2"/>
  <c r="I6" i="2"/>
  <c r="I12" i="2"/>
  <c r="I18" i="2"/>
  <c r="I24" i="2"/>
  <c r="I30" i="2"/>
  <c r="I36" i="2"/>
  <c r="I42" i="2"/>
  <c r="I48" i="2"/>
  <c r="I54" i="2"/>
  <c r="I60" i="2"/>
  <c r="I66" i="2"/>
  <c r="I72" i="2"/>
  <c r="I78" i="2"/>
  <c r="I84" i="2"/>
  <c r="I90" i="2"/>
  <c r="I96" i="2"/>
  <c r="I102" i="2"/>
  <c r="I108" i="2"/>
  <c r="I114" i="2"/>
  <c r="H5" i="2"/>
  <c r="H11" i="2"/>
  <c r="H17" i="2"/>
  <c r="H23" i="2"/>
  <c r="H29" i="2"/>
  <c r="H35" i="2"/>
  <c r="H41" i="2"/>
  <c r="H47" i="2"/>
  <c r="H53" i="2"/>
  <c r="H59" i="2"/>
  <c r="H65" i="2"/>
  <c r="H71" i="2"/>
  <c r="H77" i="2"/>
  <c r="H83" i="2"/>
  <c r="H89" i="2"/>
  <c r="H95" i="2"/>
  <c r="H101" i="2"/>
  <c r="H107" i="2"/>
  <c r="H113" i="2"/>
  <c r="I7" i="2"/>
  <c r="I13" i="2"/>
  <c r="I19" i="2"/>
  <c r="I25" i="2"/>
  <c r="I31" i="2"/>
  <c r="I37" i="2"/>
  <c r="I43" i="2"/>
  <c r="I49" i="2"/>
  <c r="I55" i="2"/>
  <c r="I61" i="2"/>
  <c r="I67" i="2"/>
  <c r="I73" i="2"/>
  <c r="I79" i="2"/>
  <c r="I85" i="2"/>
  <c r="I91" i="2"/>
  <c r="I97" i="2"/>
  <c r="I103" i="2"/>
  <c r="I109" i="2"/>
  <c r="I115" i="2"/>
  <c r="H12" i="2"/>
  <c r="H24" i="2"/>
  <c r="H36" i="2"/>
  <c r="H48" i="2"/>
  <c r="H60" i="2"/>
  <c r="H72" i="2"/>
  <c r="H84" i="2"/>
  <c r="H96" i="2"/>
  <c r="H108" i="2"/>
  <c r="H85" i="2"/>
  <c r="H115" i="2"/>
  <c r="H79" i="2"/>
  <c r="H109" i="2"/>
  <c r="H73" i="2"/>
  <c r="H103" i="2"/>
  <c r="H67" i="2"/>
  <c r="G2" i="2" l="1"/>
  <c r="H2" i="2"/>
  <c r="D9" i="3"/>
  <c r="D27" i="3"/>
  <c r="D15" i="3"/>
  <c r="D7" i="3"/>
  <c r="D83" i="3"/>
  <c r="D103" i="3"/>
  <c r="D39" i="3"/>
  <c r="D111" i="3"/>
  <c r="D66" i="3"/>
  <c r="D11" i="3"/>
  <c r="D84" i="3"/>
  <c r="D70" i="3"/>
  <c r="D57" i="3"/>
  <c r="D97" i="3"/>
  <c r="D25" i="3"/>
  <c r="D108" i="3"/>
  <c r="D101" i="3"/>
  <c r="D29" i="3"/>
  <c r="D55" i="3"/>
  <c r="D68" i="3"/>
  <c r="D74" i="3"/>
  <c r="D24" i="3"/>
  <c r="D59" i="3"/>
  <c r="D30" i="3"/>
  <c r="D46" i="3"/>
  <c r="D87" i="3"/>
  <c r="D117" i="3"/>
  <c r="D33" i="3"/>
  <c r="D73" i="3"/>
  <c r="D116" i="3"/>
  <c r="D54" i="3"/>
  <c r="D77" i="3"/>
  <c r="D110" i="3"/>
  <c r="D98" i="3"/>
  <c r="D79" i="3"/>
  <c r="D31" i="3"/>
  <c r="D114" i="3"/>
  <c r="D107" i="3"/>
  <c r="D35" i="3"/>
  <c r="D32" i="3"/>
  <c r="D94" i="3"/>
  <c r="D22" i="3"/>
  <c r="D63" i="3"/>
  <c r="D93" i="3"/>
  <c r="D26" i="3"/>
  <c r="D49" i="3"/>
  <c r="D62" i="3"/>
  <c r="D18" i="3"/>
  <c r="D53" i="3"/>
  <c r="D56" i="3"/>
  <c r="D8" i="3"/>
  <c r="D72" i="3"/>
  <c r="D112" i="3"/>
  <c r="D88" i="3"/>
  <c r="D64" i="3"/>
  <c r="D40" i="3"/>
  <c r="D115" i="3"/>
  <c r="D91" i="3"/>
  <c r="D67" i="3"/>
  <c r="D43" i="3"/>
  <c r="D19" i="3"/>
  <c r="D104" i="3"/>
  <c r="D44" i="3"/>
  <c r="D90" i="3"/>
  <c r="D42" i="3"/>
  <c r="D12" i="3"/>
  <c r="D95" i="3"/>
  <c r="D71" i="3"/>
  <c r="D47" i="3"/>
  <c r="D23" i="3"/>
  <c r="D92" i="3"/>
  <c r="D50" i="3"/>
  <c r="D102" i="3"/>
  <c r="D60" i="3"/>
  <c r="D106" i="3"/>
  <c r="D82" i="3"/>
  <c r="D58" i="3"/>
  <c r="D34" i="3"/>
  <c r="D14" i="3"/>
  <c r="D99" i="3"/>
  <c r="D75" i="3"/>
  <c r="D51" i="3"/>
  <c r="D28" i="3"/>
  <c r="D105" i="3"/>
  <c r="D81" i="3"/>
  <c r="D45" i="3"/>
  <c r="D16" i="3"/>
  <c r="D109" i="3"/>
  <c r="D85" i="3"/>
  <c r="D61" i="3"/>
  <c r="D37" i="3"/>
  <c r="D13" i="3"/>
  <c r="D86" i="3"/>
  <c r="D20" i="3"/>
  <c r="D78" i="3"/>
  <c r="D36" i="3"/>
  <c r="D113" i="3"/>
  <c r="D89" i="3"/>
  <c r="D65" i="3"/>
  <c r="D41" i="3"/>
  <c r="D17" i="3"/>
  <c r="D80" i="3"/>
  <c r="D38" i="3"/>
  <c r="D96" i="3"/>
  <c r="D48" i="3"/>
  <c r="D100" i="3"/>
  <c r="D76" i="3"/>
  <c r="D52" i="3"/>
  <c r="D6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tc={8F9FD4D8-9329-4419-88E1-4D29327B2685}</author>
  </authors>
  <commentList>
    <comment ref="D1" authorId="0" shapeId="0" xr:uid="{8F9FD4D8-9329-4419-88E1-4D29327B2685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qui finchè non si riesce a misurare y_max, appena si riesce copiare i valori nella colonna y_max e continuare su quella colonna</t>
      </text>
    </comment>
  </commentList>
</comments>
</file>

<file path=xl/sharedStrings.xml><?xml version="1.0" encoding="utf-8"?>
<sst xmlns="http://schemas.openxmlformats.org/spreadsheetml/2006/main" count="37" uniqueCount="27">
  <si>
    <t xml:space="preserve"> L</t>
  </si>
  <si>
    <t>err_L</t>
  </si>
  <si>
    <t>sigma_L</t>
  </si>
  <si>
    <t>D</t>
  </si>
  <si>
    <t>err_D</t>
  </si>
  <si>
    <t>sigma_D</t>
  </si>
  <si>
    <t>y_0</t>
  </si>
  <si>
    <t>x_0</t>
  </si>
  <si>
    <t>err_y0</t>
  </si>
  <si>
    <t>err_x0</t>
  </si>
  <si>
    <t>sigma_y0</t>
  </si>
  <si>
    <t>sigma_x0</t>
  </si>
  <si>
    <t>x</t>
  </si>
  <si>
    <t>sigma_x</t>
  </si>
  <si>
    <t>sigma_y</t>
  </si>
  <si>
    <t>y</t>
  </si>
  <si>
    <t>p</t>
  </si>
  <si>
    <t>q</t>
  </si>
  <si>
    <t>sigma_p</t>
  </si>
  <si>
    <t>sigma_q</t>
  </si>
  <si>
    <t>y_max</t>
  </si>
  <si>
    <t>y_min</t>
  </si>
  <si>
    <t>y_max2</t>
  </si>
  <si>
    <t>FONTE DI ERRORE</t>
  </si>
  <si>
    <t>modifica messa a fuoco fonte di errore dovuta al generatore</t>
  </si>
  <si>
    <t>elimina</t>
  </si>
  <si>
    <t>CAMBIA ERRORE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</si>
</sst>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3" borderId="0" xfId="0" applyNumberForma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4" borderId="0" xfId="0" applyNumberFormat="1" applyFill="1" applyAlignment="1">
      <alignment horizontal="center"/>
    </xf>
    <xf numFmtId="0" fontId="0" fillId="4" borderId="0" xfId="0" applyFill="1"/>
    <xf numFmtId="2" fontId="0" fillId="4" borderId="0" xfId="0" applyNumberFormat="1" applyFill="1"/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 vs q</a:t>
            </a:r>
            <a:endParaRPr lang="it-IT" sz="800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CE9-4F27-9351-19DBE9590D16}"/>
            </c:ext>
          </c:extLst>
        </c:ser>
        <c:ser>
          <c:idx val="5"/>
          <c:order val="1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CE9-4F27-9351-19DBE9590D16}"/>
            </c:ext>
          </c:extLst>
        </c:ser>
        <c:ser>
          <c:idx val="6"/>
          <c:order val="2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CE9-4F27-9351-19DBE9590D16}"/>
            </c:ext>
          </c:extLst>
        </c:ser>
        <c:ser>
          <c:idx val="7"/>
          <c:order val="3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CE9-4F27-9351-19DBE9590D16}"/>
            </c:ext>
          </c:extLst>
        </c:ser>
        <c:ser>
          <c:idx val="2"/>
          <c:order val="4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E9-4F27-9351-19DBE9590D16}"/>
            </c:ext>
          </c:extLst>
        </c:ser>
        <c:ser>
          <c:idx val="3"/>
          <c:order val="5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E9-4F27-9351-19DBE9590D16}"/>
            </c:ext>
          </c:extLst>
        </c:ser>
        <c:ser>
          <c:idx val="1"/>
          <c:order val="6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CE9-4F27-9351-19DBE9590D16}"/>
            </c:ext>
          </c:extLst>
        </c:ser>
        <c:ser>
          <c:idx val="0"/>
          <c:order val="7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Dati!$F$2:$F$335</c:f>
              <c:numCache>
                <c:formatCode>General</c:formatCode>
                <c:ptCount val="334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Dati!$G$2:$G$335</c:f>
              <c:numCache>
                <c:formatCode>0.00</c:formatCode>
                <c:ptCount val="334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CE9-4F27-9351-19DBE959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42160"/>
        <c:axId val="36005204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tx>
                  <c:v>SIUM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Dati!$U$2:$U$3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Dati!$V$2:$V$3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2000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DE1-40A4-A0C5-2AC9C33C21B3}"/>
                  </c:ext>
                </c:extLst>
              </c15:ser>
            </c15:filteredScatterSeries>
          </c:ext>
        </c:extLst>
      </c:scatterChart>
      <c:valAx>
        <c:axId val="54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052048"/>
        <c:crosses val="autoZero"/>
        <c:crossBetween val="midCat"/>
      </c:valAx>
      <c:valAx>
        <c:axId val="360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042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Dati!$F$1</c:f>
              <c:strCache>
                <c:ptCount val="1"/>
                <c:pt idx="0">
                  <c:v>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Dati!$F$2:$F$121</c:f>
              <c:numCache>
                <c:formatCode>General</c:formatCode>
                <c:ptCount val="120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Dati!$B$2:$B$121</c:f>
              <c:numCache>
                <c:formatCode>General</c:formatCode>
                <c:ptCount val="120"/>
                <c:pt idx="0">
                  <c:v>1802</c:v>
                </c:pt>
                <c:pt idx="1">
                  <c:v>1719</c:v>
                </c:pt>
                <c:pt idx="2">
                  <c:v>1690</c:v>
                </c:pt>
                <c:pt idx="3">
                  <c:v>1630</c:v>
                </c:pt>
                <c:pt idx="4">
                  <c:v>1605</c:v>
                </c:pt>
                <c:pt idx="5">
                  <c:v>1574</c:v>
                </c:pt>
                <c:pt idx="6">
                  <c:v>1546</c:v>
                </c:pt>
                <c:pt idx="7">
                  <c:v>1525</c:v>
                </c:pt>
                <c:pt idx="8">
                  <c:v>1505</c:v>
                </c:pt>
                <c:pt idx="9">
                  <c:v>1467</c:v>
                </c:pt>
                <c:pt idx="10">
                  <c:v>1452</c:v>
                </c:pt>
                <c:pt idx="11">
                  <c:v>1442</c:v>
                </c:pt>
                <c:pt idx="12">
                  <c:v>1402</c:v>
                </c:pt>
                <c:pt idx="13">
                  <c:v>1391</c:v>
                </c:pt>
                <c:pt idx="14">
                  <c:v>1365</c:v>
                </c:pt>
                <c:pt idx="15">
                  <c:v>1358</c:v>
                </c:pt>
                <c:pt idx="16">
                  <c:v>1346</c:v>
                </c:pt>
                <c:pt idx="17">
                  <c:v>1323</c:v>
                </c:pt>
                <c:pt idx="18">
                  <c:v>1303</c:v>
                </c:pt>
                <c:pt idx="19">
                  <c:v>1294</c:v>
                </c:pt>
                <c:pt idx="20">
                  <c:v>1276</c:v>
                </c:pt>
                <c:pt idx="21">
                  <c:v>1264</c:v>
                </c:pt>
                <c:pt idx="22">
                  <c:v>1241</c:v>
                </c:pt>
                <c:pt idx="23">
                  <c:v>1236</c:v>
                </c:pt>
                <c:pt idx="24">
                  <c:v>1221</c:v>
                </c:pt>
                <c:pt idx="25">
                  <c:v>1206</c:v>
                </c:pt>
                <c:pt idx="26">
                  <c:v>1196</c:v>
                </c:pt>
                <c:pt idx="27">
                  <c:v>1180</c:v>
                </c:pt>
                <c:pt idx="28">
                  <c:v>1176</c:v>
                </c:pt>
                <c:pt idx="29">
                  <c:v>1164</c:v>
                </c:pt>
                <c:pt idx="30">
                  <c:v>1153</c:v>
                </c:pt>
                <c:pt idx="31">
                  <c:v>1149</c:v>
                </c:pt>
                <c:pt idx="32">
                  <c:v>1136</c:v>
                </c:pt>
                <c:pt idx="33">
                  <c:v>1122</c:v>
                </c:pt>
                <c:pt idx="34">
                  <c:v>1110</c:v>
                </c:pt>
                <c:pt idx="35">
                  <c:v>1094</c:v>
                </c:pt>
                <c:pt idx="36">
                  <c:v>1076</c:v>
                </c:pt>
                <c:pt idx="37">
                  <c:v>1064</c:v>
                </c:pt>
                <c:pt idx="38">
                  <c:v>1048</c:v>
                </c:pt>
                <c:pt idx="39">
                  <c:v>1041</c:v>
                </c:pt>
                <c:pt idx="40">
                  <c:v>1015</c:v>
                </c:pt>
                <c:pt idx="41">
                  <c:v>1011</c:v>
                </c:pt>
                <c:pt idx="42">
                  <c:v>1005</c:v>
                </c:pt>
                <c:pt idx="43">
                  <c:v>1001</c:v>
                </c:pt>
                <c:pt idx="44">
                  <c:v>992</c:v>
                </c:pt>
                <c:pt idx="45">
                  <c:v>992</c:v>
                </c:pt>
                <c:pt idx="46">
                  <c:v>986</c:v>
                </c:pt>
                <c:pt idx="47">
                  <c:v>985</c:v>
                </c:pt>
                <c:pt idx="48">
                  <c:v>981</c:v>
                </c:pt>
                <c:pt idx="49">
                  <c:v>975</c:v>
                </c:pt>
                <c:pt idx="50">
                  <c:v>971</c:v>
                </c:pt>
                <c:pt idx="51">
                  <c:v>968</c:v>
                </c:pt>
                <c:pt idx="52">
                  <c:v>965</c:v>
                </c:pt>
                <c:pt idx="53">
                  <c:v>960</c:v>
                </c:pt>
                <c:pt idx="54">
                  <c:v>957</c:v>
                </c:pt>
                <c:pt idx="55">
                  <c:v>955</c:v>
                </c:pt>
                <c:pt idx="56">
                  <c:v>945</c:v>
                </c:pt>
                <c:pt idx="57">
                  <c:v>940</c:v>
                </c:pt>
                <c:pt idx="58">
                  <c:v>929</c:v>
                </c:pt>
                <c:pt idx="59">
                  <c:v>916</c:v>
                </c:pt>
                <c:pt idx="60">
                  <c:v>906</c:v>
                </c:pt>
                <c:pt idx="61">
                  <c:v>886</c:v>
                </c:pt>
                <c:pt idx="62">
                  <c:v>871</c:v>
                </c:pt>
                <c:pt idx="63">
                  <c:v>870</c:v>
                </c:pt>
                <c:pt idx="64">
                  <c:v>864</c:v>
                </c:pt>
                <c:pt idx="65">
                  <c:v>856</c:v>
                </c:pt>
                <c:pt idx="66">
                  <c:v>851</c:v>
                </c:pt>
                <c:pt idx="67">
                  <c:v>846</c:v>
                </c:pt>
                <c:pt idx="68">
                  <c:v>840</c:v>
                </c:pt>
                <c:pt idx="69">
                  <c:v>835</c:v>
                </c:pt>
                <c:pt idx="70">
                  <c:v>833</c:v>
                </c:pt>
                <c:pt idx="71">
                  <c:v>832</c:v>
                </c:pt>
                <c:pt idx="72">
                  <c:v>828</c:v>
                </c:pt>
                <c:pt idx="73">
                  <c:v>825</c:v>
                </c:pt>
                <c:pt idx="74">
                  <c:v>822</c:v>
                </c:pt>
                <c:pt idx="75">
                  <c:v>820</c:v>
                </c:pt>
                <c:pt idx="76">
                  <c:v>816</c:v>
                </c:pt>
                <c:pt idx="77">
                  <c:v>814</c:v>
                </c:pt>
                <c:pt idx="78">
                  <c:v>822</c:v>
                </c:pt>
                <c:pt idx="79">
                  <c:v>825</c:v>
                </c:pt>
                <c:pt idx="80">
                  <c:v>827</c:v>
                </c:pt>
                <c:pt idx="81">
                  <c:v>827</c:v>
                </c:pt>
                <c:pt idx="82">
                  <c:v>829</c:v>
                </c:pt>
                <c:pt idx="83">
                  <c:v>830</c:v>
                </c:pt>
                <c:pt idx="84">
                  <c:v>831</c:v>
                </c:pt>
                <c:pt idx="85">
                  <c:v>832</c:v>
                </c:pt>
                <c:pt idx="86">
                  <c:v>837</c:v>
                </c:pt>
                <c:pt idx="87">
                  <c:v>840</c:v>
                </c:pt>
                <c:pt idx="88">
                  <c:v>835</c:v>
                </c:pt>
                <c:pt idx="89">
                  <c:v>850</c:v>
                </c:pt>
                <c:pt idx="90">
                  <c:v>855</c:v>
                </c:pt>
                <c:pt idx="91">
                  <c:v>860</c:v>
                </c:pt>
                <c:pt idx="92">
                  <c:v>865</c:v>
                </c:pt>
                <c:pt idx="93">
                  <c:v>870</c:v>
                </c:pt>
                <c:pt idx="94">
                  <c:v>875</c:v>
                </c:pt>
                <c:pt idx="95">
                  <c:v>885</c:v>
                </c:pt>
                <c:pt idx="96">
                  <c:v>890</c:v>
                </c:pt>
                <c:pt idx="97">
                  <c:v>897</c:v>
                </c:pt>
                <c:pt idx="98">
                  <c:v>905</c:v>
                </c:pt>
                <c:pt idx="99">
                  <c:v>910</c:v>
                </c:pt>
                <c:pt idx="100">
                  <c:v>925</c:v>
                </c:pt>
                <c:pt idx="101">
                  <c:v>939</c:v>
                </c:pt>
                <c:pt idx="102">
                  <c:v>958</c:v>
                </c:pt>
                <c:pt idx="103">
                  <c:v>972</c:v>
                </c:pt>
                <c:pt idx="104">
                  <c:v>990</c:v>
                </c:pt>
                <c:pt idx="105">
                  <c:v>1030</c:v>
                </c:pt>
                <c:pt idx="106">
                  <c:v>1073</c:v>
                </c:pt>
                <c:pt idx="107">
                  <c:v>1118</c:v>
                </c:pt>
                <c:pt idx="108">
                  <c:v>1164</c:v>
                </c:pt>
                <c:pt idx="109">
                  <c:v>1255</c:v>
                </c:pt>
                <c:pt idx="110">
                  <c:v>1349</c:v>
                </c:pt>
                <c:pt idx="111">
                  <c:v>1445</c:v>
                </c:pt>
                <c:pt idx="112">
                  <c:v>1542</c:v>
                </c:pt>
                <c:pt idx="113">
                  <c:v>1638</c:v>
                </c:pt>
                <c:pt idx="114">
                  <c:v>1736</c:v>
                </c:pt>
                <c:pt idx="115">
                  <c:v>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D-4D7F-AC52-BD85CDF3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987264"/>
        <c:axId val="2001641104"/>
      </c:scatterChart>
      <c:valAx>
        <c:axId val="207698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1641104"/>
        <c:crosses val="autoZero"/>
        <c:crossBetween val="midCat"/>
      </c:valAx>
      <c:valAx>
        <c:axId val="20016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69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Y</a:t>
            </a:r>
            <a:r>
              <a:rPr lang="it-IT" baseline="0"/>
              <a:t> MAX vs Y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Dati!$F$2:$F$67</c:f>
              <c:numCache>
                <c:formatCode>General</c:formatCode>
                <c:ptCount val="66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</c:numCache>
            </c:numRef>
          </c:xVal>
          <c:yVal>
            <c:numRef>
              <c:f>Dati!$B$2:$B$67</c:f>
              <c:numCache>
                <c:formatCode>General</c:formatCode>
                <c:ptCount val="66"/>
                <c:pt idx="0">
                  <c:v>1802</c:v>
                </c:pt>
                <c:pt idx="1">
                  <c:v>1719</c:v>
                </c:pt>
                <c:pt idx="2">
                  <c:v>1690</c:v>
                </c:pt>
                <c:pt idx="3">
                  <c:v>1630</c:v>
                </c:pt>
                <c:pt idx="4">
                  <c:v>1605</c:v>
                </c:pt>
                <c:pt idx="5">
                  <c:v>1574</c:v>
                </c:pt>
                <c:pt idx="6">
                  <c:v>1546</c:v>
                </c:pt>
                <c:pt idx="7">
                  <c:v>1525</c:v>
                </c:pt>
                <c:pt idx="8">
                  <c:v>1505</c:v>
                </c:pt>
                <c:pt idx="9">
                  <c:v>1467</c:v>
                </c:pt>
                <c:pt idx="10">
                  <c:v>1452</c:v>
                </c:pt>
                <c:pt idx="11">
                  <c:v>1442</c:v>
                </c:pt>
                <c:pt idx="12">
                  <c:v>1402</c:v>
                </c:pt>
                <c:pt idx="13">
                  <c:v>1391</c:v>
                </c:pt>
                <c:pt idx="14">
                  <c:v>1365</c:v>
                </c:pt>
                <c:pt idx="15">
                  <c:v>1358</c:v>
                </c:pt>
                <c:pt idx="16">
                  <c:v>1346</c:v>
                </c:pt>
                <c:pt idx="17">
                  <c:v>1323</c:v>
                </c:pt>
                <c:pt idx="18">
                  <c:v>1303</c:v>
                </c:pt>
                <c:pt idx="19">
                  <c:v>1294</c:v>
                </c:pt>
                <c:pt idx="20">
                  <c:v>1276</c:v>
                </c:pt>
                <c:pt idx="21">
                  <c:v>1264</c:v>
                </c:pt>
                <c:pt idx="22">
                  <c:v>1241</c:v>
                </c:pt>
                <c:pt idx="23">
                  <c:v>1236</c:v>
                </c:pt>
                <c:pt idx="24">
                  <c:v>1221</c:v>
                </c:pt>
                <c:pt idx="25">
                  <c:v>1206</c:v>
                </c:pt>
                <c:pt idx="26">
                  <c:v>1196</c:v>
                </c:pt>
                <c:pt idx="27">
                  <c:v>1180</c:v>
                </c:pt>
                <c:pt idx="28">
                  <c:v>1176</c:v>
                </c:pt>
                <c:pt idx="29">
                  <c:v>1164</c:v>
                </c:pt>
                <c:pt idx="30">
                  <c:v>1153</c:v>
                </c:pt>
                <c:pt idx="31">
                  <c:v>1149</c:v>
                </c:pt>
                <c:pt idx="32">
                  <c:v>1136</c:v>
                </c:pt>
                <c:pt idx="33">
                  <c:v>1122</c:v>
                </c:pt>
                <c:pt idx="34">
                  <c:v>1110</c:v>
                </c:pt>
                <c:pt idx="35">
                  <c:v>1094</c:v>
                </c:pt>
                <c:pt idx="36">
                  <c:v>1076</c:v>
                </c:pt>
                <c:pt idx="37">
                  <c:v>1064</c:v>
                </c:pt>
                <c:pt idx="38">
                  <c:v>1048</c:v>
                </c:pt>
                <c:pt idx="39">
                  <c:v>1041</c:v>
                </c:pt>
                <c:pt idx="40">
                  <c:v>1015</c:v>
                </c:pt>
                <c:pt idx="41">
                  <c:v>1011</c:v>
                </c:pt>
                <c:pt idx="42">
                  <c:v>1005</c:v>
                </c:pt>
                <c:pt idx="43">
                  <c:v>1001</c:v>
                </c:pt>
                <c:pt idx="44">
                  <c:v>992</c:v>
                </c:pt>
                <c:pt idx="45">
                  <c:v>992</c:v>
                </c:pt>
                <c:pt idx="46">
                  <c:v>986</c:v>
                </c:pt>
                <c:pt idx="47">
                  <c:v>985</c:v>
                </c:pt>
                <c:pt idx="48">
                  <c:v>981</c:v>
                </c:pt>
                <c:pt idx="49">
                  <c:v>975</c:v>
                </c:pt>
                <c:pt idx="50">
                  <c:v>971</c:v>
                </c:pt>
                <c:pt idx="51">
                  <c:v>968</c:v>
                </c:pt>
                <c:pt idx="52">
                  <c:v>965</c:v>
                </c:pt>
                <c:pt idx="53">
                  <c:v>960</c:v>
                </c:pt>
                <c:pt idx="54">
                  <c:v>957</c:v>
                </c:pt>
                <c:pt idx="55">
                  <c:v>955</c:v>
                </c:pt>
                <c:pt idx="56">
                  <c:v>945</c:v>
                </c:pt>
                <c:pt idx="57">
                  <c:v>940</c:v>
                </c:pt>
                <c:pt idx="58">
                  <c:v>929</c:v>
                </c:pt>
                <c:pt idx="59">
                  <c:v>916</c:v>
                </c:pt>
                <c:pt idx="60">
                  <c:v>906</c:v>
                </c:pt>
                <c:pt idx="61">
                  <c:v>886</c:v>
                </c:pt>
                <c:pt idx="62">
                  <c:v>871</c:v>
                </c:pt>
                <c:pt idx="63">
                  <c:v>870</c:v>
                </c:pt>
                <c:pt idx="64">
                  <c:v>864</c:v>
                </c:pt>
                <c:pt idx="65">
                  <c:v>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6-42F5-B1FE-1A8BCF229AFB}"/>
            </c:ext>
          </c:extLst>
        </c:ser>
        <c:ser>
          <c:idx val="1"/>
          <c:order val="1"/>
          <c:tx>
            <c:v>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Dati!$F$2:$F$117</c:f>
              <c:numCache>
                <c:formatCode>General</c:formatCode>
                <c:ptCount val="116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Dati!$C$2:$C$117</c:f>
              <c:numCache>
                <c:formatCode>General</c:formatCode>
                <c:ptCount val="116"/>
                <c:pt idx="0">
                  <c:v>1841</c:v>
                </c:pt>
                <c:pt idx="1">
                  <c:v>1836</c:v>
                </c:pt>
                <c:pt idx="2">
                  <c:v>1853</c:v>
                </c:pt>
                <c:pt idx="3">
                  <c:v>1782</c:v>
                </c:pt>
                <c:pt idx="4">
                  <c:v>1745</c:v>
                </c:pt>
                <c:pt idx="5">
                  <c:v>1710</c:v>
                </c:pt>
                <c:pt idx="6">
                  <c:v>1679</c:v>
                </c:pt>
                <c:pt idx="7">
                  <c:v>1629</c:v>
                </c:pt>
                <c:pt idx="8">
                  <c:v>1603</c:v>
                </c:pt>
                <c:pt idx="9">
                  <c:v>1572</c:v>
                </c:pt>
                <c:pt idx="10">
                  <c:v>1534</c:v>
                </c:pt>
                <c:pt idx="11">
                  <c:v>1520</c:v>
                </c:pt>
                <c:pt idx="12">
                  <c:v>1485</c:v>
                </c:pt>
                <c:pt idx="13">
                  <c:v>1462</c:v>
                </c:pt>
                <c:pt idx="14">
                  <c:v>1436</c:v>
                </c:pt>
                <c:pt idx="15">
                  <c:v>1431</c:v>
                </c:pt>
                <c:pt idx="16">
                  <c:v>1406</c:v>
                </c:pt>
                <c:pt idx="17">
                  <c:v>1390</c:v>
                </c:pt>
                <c:pt idx="18">
                  <c:v>1368</c:v>
                </c:pt>
                <c:pt idx="19">
                  <c:v>1346</c:v>
                </c:pt>
                <c:pt idx="20">
                  <c:v>1324</c:v>
                </c:pt>
                <c:pt idx="21">
                  <c:v>1314</c:v>
                </c:pt>
                <c:pt idx="22">
                  <c:v>1304</c:v>
                </c:pt>
                <c:pt idx="23">
                  <c:v>1289</c:v>
                </c:pt>
                <c:pt idx="24">
                  <c:v>1268</c:v>
                </c:pt>
                <c:pt idx="25">
                  <c:v>1254</c:v>
                </c:pt>
                <c:pt idx="26">
                  <c:v>1234</c:v>
                </c:pt>
                <c:pt idx="27">
                  <c:v>1223</c:v>
                </c:pt>
                <c:pt idx="28">
                  <c:v>1213</c:v>
                </c:pt>
                <c:pt idx="29">
                  <c:v>1205</c:v>
                </c:pt>
                <c:pt idx="30">
                  <c:v>1189</c:v>
                </c:pt>
                <c:pt idx="31">
                  <c:v>1182</c:v>
                </c:pt>
                <c:pt idx="32">
                  <c:v>1169</c:v>
                </c:pt>
                <c:pt idx="33">
                  <c:v>1163</c:v>
                </c:pt>
                <c:pt idx="34">
                  <c:v>1138</c:v>
                </c:pt>
                <c:pt idx="35">
                  <c:v>1121</c:v>
                </c:pt>
                <c:pt idx="36">
                  <c:v>1107</c:v>
                </c:pt>
                <c:pt idx="37">
                  <c:v>1092</c:v>
                </c:pt>
                <c:pt idx="38">
                  <c:v>1079</c:v>
                </c:pt>
                <c:pt idx="39">
                  <c:v>1064</c:v>
                </c:pt>
                <c:pt idx="40">
                  <c:v>1047</c:v>
                </c:pt>
                <c:pt idx="41">
                  <c:v>1044</c:v>
                </c:pt>
                <c:pt idx="42">
                  <c:v>1037</c:v>
                </c:pt>
                <c:pt idx="43">
                  <c:v>1020</c:v>
                </c:pt>
                <c:pt idx="44">
                  <c:v>1015</c:v>
                </c:pt>
                <c:pt idx="45">
                  <c:v>1015</c:v>
                </c:pt>
                <c:pt idx="46">
                  <c:v>1006</c:v>
                </c:pt>
                <c:pt idx="47">
                  <c:v>1000</c:v>
                </c:pt>
                <c:pt idx="48">
                  <c:v>999</c:v>
                </c:pt>
                <c:pt idx="49">
                  <c:v>992</c:v>
                </c:pt>
                <c:pt idx="50">
                  <c:v>988</c:v>
                </c:pt>
                <c:pt idx="51">
                  <c:v>987</c:v>
                </c:pt>
                <c:pt idx="52">
                  <c:v>974</c:v>
                </c:pt>
                <c:pt idx="53">
                  <c:v>976</c:v>
                </c:pt>
                <c:pt idx="54">
                  <c:v>969</c:v>
                </c:pt>
                <c:pt idx="55">
                  <c:v>967</c:v>
                </c:pt>
                <c:pt idx="56">
                  <c:v>961</c:v>
                </c:pt>
                <c:pt idx="57">
                  <c:v>953</c:v>
                </c:pt>
                <c:pt idx="58">
                  <c:v>945</c:v>
                </c:pt>
                <c:pt idx="59">
                  <c:v>930</c:v>
                </c:pt>
                <c:pt idx="60">
                  <c:v>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E6-42F5-B1FE-1A8BCF229AF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Dati!$F$2:$F$117</c:f>
              <c:numCache>
                <c:formatCode>General</c:formatCode>
                <c:ptCount val="116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Dati!$D$2:$D$83</c:f>
              <c:numCache>
                <c:formatCode>General</c:formatCode>
                <c:ptCount val="82"/>
                <c:pt idx="0">
                  <c:v>1821.3956187495346</c:v>
                </c:pt>
                <c:pt idx="1">
                  <c:v>1776.5370809527169</c:v>
                </c:pt>
                <c:pt idx="2">
                  <c:v>1769.6242539025059</c:v>
                </c:pt>
                <c:pt idx="3">
                  <c:v>1704.3063104970304</c:v>
                </c:pt>
                <c:pt idx="4">
                  <c:v>1673.5366742321485</c:v>
                </c:pt>
                <c:pt idx="5">
                  <c:v>1640.5913567979078</c:v>
                </c:pt>
                <c:pt idx="6">
                  <c:v>1611.1281761548335</c:v>
                </c:pt>
                <c:pt idx="7">
                  <c:v>1576.1424428014113</c:v>
                </c:pt>
                <c:pt idx="8">
                  <c:v>1553.227285364251</c:v>
                </c:pt>
                <c:pt idx="9">
                  <c:v>1518.5927696390497</c:v>
                </c:pt>
                <c:pt idx="10">
                  <c:v>1492.4369333409034</c:v>
                </c:pt>
                <c:pt idx="11">
                  <c:v>1480.4864065569802</c:v>
                </c:pt>
                <c:pt idx="12">
                  <c:v>1442.9033231647918</c:v>
                </c:pt>
                <c:pt idx="13">
                  <c:v>1426.0582035807654</c:v>
                </c:pt>
                <c:pt idx="14">
                  <c:v>1400.0499991071747</c:v>
                </c:pt>
                <c:pt idx="15">
                  <c:v>1394.0222379861807</c:v>
                </c:pt>
                <c:pt idx="16">
                  <c:v>1375.6729262437348</c:v>
                </c:pt>
                <c:pt idx="17">
                  <c:v>1356.0862804408871</c:v>
                </c:pt>
                <c:pt idx="18">
                  <c:v>1335.1044902928011</c:v>
                </c:pt>
                <c:pt idx="19">
                  <c:v>1319.7439145531227</c:v>
                </c:pt>
                <c:pt idx="20">
                  <c:v>1299.778442658594</c:v>
                </c:pt>
                <c:pt idx="21">
                  <c:v>1288.7575412000506</c:v>
                </c:pt>
                <c:pt idx="22">
                  <c:v>1272.1100581317639</c:v>
                </c:pt>
                <c:pt idx="23">
                  <c:v>1262.221850547676</c:v>
                </c:pt>
                <c:pt idx="24">
                  <c:v>1244.2781039622935</c:v>
                </c:pt>
                <c:pt idx="25">
                  <c:v>1229.7658313679071</c:v>
                </c:pt>
                <c:pt idx="26">
                  <c:v>1214.8514312458128</c:v>
                </c:pt>
                <c:pt idx="27">
                  <c:v>1201.307620886507</c:v>
                </c:pt>
                <c:pt idx="28">
                  <c:v>1194.3567306295049</c:v>
                </c:pt>
                <c:pt idx="29">
                  <c:v>1184.3225911887353</c:v>
                </c:pt>
                <c:pt idx="30">
                  <c:v>1170.8616485306879</c:v>
                </c:pt>
                <c:pt idx="31">
                  <c:v>1165.3831987805556</c:v>
                </c:pt>
                <c:pt idx="32">
                  <c:v>1152.3818811487797</c:v>
                </c:pt>
                <c:pt idx="33">
                  <c:v>1142.3160683453596</c:v>
                </c:pt>
                <c:pt idx="34">
                  <c:v>1123.9128080060302</c:v>
                </c:pt>
                <c:pt idx="35">
                  <c:v>1107.4177170336404</c:v>
                </c:pt>
                <c:pt idx="36">
                  <c:v>1091.3899394808439</c:v>
                </c:pt>
                <c:pt idx="37">
                  <c:v>1077.9090870755288</c:v>
                </c:pt>
                <c:pt idx="38">
                  <c:v>1063.3870414858363</c:v>
                </c:pt>
                <c:pt idx="39">
                  <c:v>1052.4371715214168</c:v>
                </c:pt>
                <c:pt idx="40">
                  <c:v>1030.875841214644</c:v>
                </c:pt>
                <c:pt idx="41">
                  <c:v>1027.3675097062394</c:v>
                </c:pt>
                <c:pt idx="42">
                  <c:v>1020.8746250152367</c:v>
                </c:pt>
                <c:pt idx="43">
                  <c:v>1010.4553429023966</c:v>
                </c:pt>
                <c:pt idx="44">
                  <c:v>1003.43410346669</c:v>
                </c:pt>
                <c:pt idx="45">
                  <c:v>1003.43410346669</c:v>
                </c:pt>
                <c:pt idx="46">
                  <c:v>995.94979793160257</c:v>
                </c:pt>
                <c:pt idx="47">
                  <c:v>992.47166206396048</c:v>
                </c:pt>
                <c:pt idx="48">
                  <c:v>989.95909006382692</c:v>
                </c:pt>
                <c:pt idx="49">
                  <c:v>983.46326825153972</c:v>
                </c:pt>
                <c:pt idx="50">
                  <c:v>979.46311824386737</c:v>
                </c:pt>
                <c:pt idx="51">
                  <c:v>977.45383522701468</c:v>
                </c:pt>
                <c:pt idx="52">
                  <c:v>969.48955641615851</c:v>
                </c:pt>
                <c:pt idx="53">
                  <c:v>967.96694158426715</c:v>
                </c:pt>
                <c:pt idx="54">
                  <c:v>962.98130822981193</c:v>
                </c:pt>
                <c:pt idx="55">
                  <c:v>960.98126932838807</c:v>
                </c:pt>
                <c:pt idx="56">
                  <c:v>952.9664212342426</c:v>
                </c:pt>
                <c:pt idx="57">
                  <c:v>946.47768066658602</c:v>
                </c:pt>
                <c:pt idx="58">
                  <c:v>936.96584783011167</c:v>
                </c:pt>
                <c:pt idx="59">
                  <c:v>922.97345573965447</c:v>
                </c:pt>
                <c:pt idx="60">
                  <c:v>910.48887966849986</c:v>
                </c:pt>
                <c:pt idx="61">
                  <c:v>886</c:v>
                </c:pt>
                <c:pt idx="62">
                  <c:v>871</c:v>
                </c:pt>
                <c:pt idx="63">
                  <c:v>870</c:v>
                </c:pt>
                <c:pt idx="64">
                  <c:v>864</c:v>
                </c:pt>
                <c:pt idx="65">
                  <c:v>856</c:v>
                </c:pt>
                <c:pt idx="66">
                  <c:v>851</c:v>
                </c:pt>
                <c:pt idx="67">
                  <c:v>846</c:v>
                </c:pt>
                <c:pt idx="68">
                  <c:v>840</c:v>
                </c:pt>
                <c:pt idx="69">
                  <c:v>835</c:v>
                </c:pt>
                <c:pt idx="70">
                  <c:v>833</c:v>
                </c:pt>
                <c:pt idx="71">
                  <c:v>832</c:v>
                </c:pt>
                <c:pt idx="72">
                  <c:v>828</c:v>
                </c:pt>
                <c:pt idx="73">
                  <c:v>825</c:v>
                </c:pt>
                <c:pt idx="74">
                  <c:v>822</c:v>
                </c:pt>
                <c:pt idx="75">
                  <c:v>820</c:v>
                </c:pt>
                <c:pt idx="76">
                  <c:v>816</c:v>
                </c:pt>
                <c:pt idx="77">
                  <c:v>814</c:v>
                </c:pt>
                <c:pt idx="78">
                  <c:v>822</c:v>
                </c:pt>
                <c:pt idx="79">
                  <c:v>825</c:v>
                </c:pt>
                <c:pt idx="80">
                  <c:v>827</c:v>
                </c:pt>
                <c:pt idx="81">
                  <c:v>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E6-42F5-B1FE-1A8BCF22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637376"/>
        <c:axId val="2001566224"/>
      </c:scatterChart>
      <c:valAx>
        <c:axId val="207263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1566224"/>
        <c:crosses val="autoZero"/>
        <c:crossBetween val="midCat"/>
      </c:valAx>
      <c:valAx>
        <c:axId val="200156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63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</a:t>
            </a:r>
            <a:r>
              <a:rPr lang="it-IT" baseline="0"/>
              <a:t> </a:t>
            </a:r>
            <a:r>
              <a:rPr lang="it-IT" sz="800" baseline="0"/>
              <a:t>dopo che si riesce a prendere y_max</a:t>
            </a:r>
            <a:endParaRPr lang="it-IT" sz="800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D-41E9-85A1-EE1C7470A449}"/>
            </c:ext>
          </c:extLst>
        </c:ser>
        <c:ser>
          <c:idx val="5"/>
          <c:order val="1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D-41E9-85A1-EE1C7470A449}"/>
            </c:ext>
          </c:extLst>
        </c:ser>
        <c:ser>
          <c:idx val="6"/>
          <c:order val="2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4D-41E9-85A1-EE1C7470A449}"/>
            </c:ext>
          </c:extLst>
        </c:ser>
        <c:ser>
          <c:idx val="7"/>
          <c:order val="3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D-41E9-85A1-EE1C7470A449}"/>
            </c:ext>
          </c:extLst>
        </c:ser>
        <c:ser>
          <c:idx val="2"/>
          <c:order val="4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4D-41E9-85A1-EE1C7470A449}"/>
            </c:ext>
          </c:extLst>
        </c:ser>
        <c:ser>
          <c:idx val="3"/>
          <c:order val="5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D-41E9-85A1-EE1C7470A449}"/>
            </c:ext>
          </c:extLst>
        </c:ser>
        <c:ser>
          <c:idx val="1"/>
          <c:order val="6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4D-41E9-85A1-EE1C7470A449}"/>
            </c:ext>
          </c:extLst>
        </c:ser>
        <c:ser>
          <c:idx val="0"/>
          <c:order val="7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(2)'!$G$2:$G$350</c:f>
              <c:numCache>
                <c:formatCode>General</c:formatCode>
                <c:ptCount val="34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D-41E9-85A1-EE1C7470A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42160"/>
        <c:axId val="360052048"/>
      </c:scatterChart>
      <c:valAx>
        <c:axId val="54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052048"/>
        <c:crosses val="autoZero"/>
        <c:crossBetween val="midCat"/>
      </c:valAx>
      <c:valAx>
        <c:axId val="360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042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</a:t>
            </a:r>
            <a:r>
              <a:rPr lang="en-US" baseline="0"/>
              <a:t> iniziale </a:t>
            </a:r>
            <a:r>
              <a:rPr lang="en-US" sz="800" baseline="0"/>
              <a:t>prima che si riesca a prendere y_max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(2)'!$G$2:$G$130</c:f>
              <c:numCache>
                <c:formatCode>General</c:formatCode>
                <c:ptCount val="129"/>
                <c:pt idx="0">
                  <c:v>79.300000000000011</c:v>
                </c:pt>
                <c:pt idx="1">
                  <c:v>80.300000000000011</c:v>
                </c:pt>
                <c:pt idx="2">
                  <c:v>81.300000000000011</c:v>
                </c:pt>
                <c:pt idx="3">
                  <c:v>82.300000000000011</c:v>
                </c:pt>
                <c:pt idx="4">
                  <c:v>83.300000000000011</c:v>
                </c:pt>
                <c:pt idx="5">
                  <c:v>84.300000000000011</c:v>
                </c:pt>
                <c:pt idx="6">
                  <c:v>85.300000000000011</c:v>
                </c:pt>
                <c:pt idx="7">
                  <c:v>86.300000000000011</c:v>
                </c:pt>
                <c:pt idx="8">
                  <c:v>87.300000000000011</c:v>
                </c:pt>
                <c:pt idx="9">
                  <c:v>88.300000000000011</c:v>
                </c:pt>
                <c:pt idx="10">
                  <c:v>89.300000000000011</c:v>
                </c:pt>
                <c:pt idx="11">
                  <c:v>90.300000000000011</c:v>
                </c:pt>
                <c:pt idx="12">
                  <c:v>91.300000000000011</c:v>
                </c:pt>
                <c:pt idx="13">
                  <c:v>92.300000000000011</c:v>
                </c:pt>
                <c:pt idx="14">
                  <c:v>93.300000000000011</c:v>
                </c:pt>
                <c:pt idx="15">
                  <c:v>94.300000000000011</c:v>
                </c:pt>
                <c:pt idx="16">
                  <c:v>95.300000000000011</c:v>
                </c:pt>
                <c:pt idx="17">
                  <c:v>96.300000000000011</c:v>
                </c:pt>
                <c:pt idx="18">
                  <c:v>97.300000000000011</c:v>
                </c:pt>
                <c:pt idx="19">
                  <c:v>98.300000000000011</c:v>
                </c:pt>
                <c:pt idx="20">
                  <c:v>99.300000000000011</c:v>
                </c:pt>
                <c:pt idx="21">
                  <c:v>100.30000000000001</c:v>
                </c:pt>
                <c:pt idx="22">
                  <c:v>101.30000000000001</c:v>
                </c:pt>
                <c:pt idx="23">
                  <c:v>102.30000000000001</c:v>
                </c:pt>
                <c:pt idx="24">
                  <c:v>103.30000000000001</c:v>
                </c:pt>
                <c:pt idx="25">
                  <c:v>104.30000000000001</c:v>
                </c:pt>
                <c:pt idx="26">
                  <c:v>105.30000000000001</c:v>
                </c:pt>
                <c:pt idx="27">
                  <c:v>106.30000000000001</c:v>
                </c:pt>
                <c:pt idx="28">
                  <c:v>107.30000000000001</c:v>
                </c:pt>
                <c:pt idx="29">
                  <c:v>108.30000000000001</c:v>
                </c:pt>
                <c:pt idx="30">
                  <c:v>109.30000000000001</c:v>
                </c:pt>
                <c:pt idx="31">
                  <c:v>110.30000000000001</c:v>
                </c:pt>
                <c:pt idx="32">
                  <c:v>111.30000000000001</c:v>
                </c:pt>
                <c:pt idx="33">
                  <c:v>112.30000000000001</c:v>
                </c:pt>
                <c:pt idx="34">
                  <c:v>113.30000000000001</c:v>
                </c:pt>
                <c:pt idx="35">
                  <c:v>114.30000000000001</c:v>
                </c:pt>
                <c:pt idx="36">
                  <c:v>115.30000000000001</c:v>
                </c:pt>
                <c:pt idx="37">
                  <c:v>116.30000000000001</c:v>
                </c:pt>
                <c:pt idx="38">
                  <c:v>117.30000000000001</c:v>
                </c:pt>
                <c:pt idx="39">
                  <c:v>118.30000000000001</c:v>
                </c:pt>
                <c:pt idx="40">
                  <c:v>119.30000000000001</c:v>
                </c:pt>
                <c:pt idx="41">
                  <c:v>120.30000000000001</c:v>
                </c:pt>
                <c:pt idx="42">
                  <c:v>121.30000000000001</c:v>
                </c:pt>
                <c:pt idx="43">
                  <c:v>122.30000000000001</c:v>
                </c:pt>
                <c:pt idx="44">
                  <c:v>123.30000000000001</c:v>
                </c:pt>
                <c:pt idx="45">
                  <c:v>124.30000000000001</c:v>
                </c:pt>
                <c:pt idx="46">
                  <c:v>126.30000000000001</c:v>
                </c:pt>
                <c:pt idx="47">
                  <c:v>128.30000000000001</c:v>
                </c:pt>
                <c:pt idx="48">
                  <c:v>130.30000000000001</c:v>
                </c:pt>
                <c:pt idx="49">
                  <c:v>132.30000000000001</c:v>
                </c:pt>
                <c:pt idx="50">
                  <c:v>134.30000000000001</c:v>
                </c:pt>
                <c:pt idx="51">
                  <c:v>136.30000000000001</c:v>
                </c:pt>
                <c:pt idx="52">
                  <c:v>138.30000000000001</c:v>
                </c:pt>
                <c:pt idx="53">
                  <c:v>140.30000000000001</c:v>
                </c:pt>
                <c:pt idx="54">
                  <c:v>142.30000000000001</c:v>
                </c:pt>
                <c:pt idx="55">
                  <c:v>144.30000000000001</c:v>
                </c:pt>
                <c:pt idx="56">
                  <c:v>146.30000000000001</c:v>
                </c:pt>
                <c:pt idx="57">
                  <c:v>148.30000000000001</c:v>
                </c:pt>
                <c:pt idx="58">
                  <c:v>150.30000000000001</c:v>
                </c:pt>
                <c:pt idx="59">
                  <c:v>152.30000000000001</c:v>
                </c:pt>
                <c:pt idx="60">
                  <c:v>154.30000000000001</c:v>
                </c:pt>
                <c:pt idx="61">
                  <c:v>156.30000000000001</c:v>
                </c:pt>
                <c:pt idx="62">
                  <c:v>158.30000000000001</c:v>
                </c:pt>
                <c:pt idx="63">
                  <c:v>160.30000000000001</c:v>
                </c:pt>
                <c:pt idx="64">
                  <c:v>163.30000000000001</c:v>
                </c:pt>
                <c:pt idx="65">
                  <c:v>166.3</c:v>
                </c:pt>
                <c:pt idx="66">
                  <c:v>169.3</c:v>
                </c:pt>
                <c:pt idx="67">
                  <c:v>172.3</c:v>
                </c:pt>
                <c:pt idx="68">
                  <c:v>175.3</c:v>
                </c:pt>
                <c:pt idx="69">
                  <c:v>178.3</c:v>
                </c:pt>
                <c:pt idx="70">
                  <c:v>181.3</c:v>
                </c:pt>
                <c:pt idx="71">
                  <c:v>184.3</c:v>
                </c:pt>
                <c:pt idx="72">
                  <c:v>188.3</c:v>
                </c:pt>
                <c:pt idx="73">
                  <c:v>192.3</c:v>
                </c:pt>
                <c:pt idx="74">
                  <c:v>196.3</c:v>
                </c:pt>
                <c:pt idx="75">
                  <c:v>200.3</c:v>
                </c:pt>
                <c:pt idx="76">
                  <c:v>204.3</c:v>
                </c:pt>
                <c:pt idx="77">
                  <c:v>208.3</c:v>
                </c:pt>
                <c:pt idx="78">
                  <c:v>212.3</c:v>
                </c:pt>
                <c:pt idx="79">
                  <c:v>216.3</c:v>
                </c:pt>
                <c:pt idx="80">
                  <c:v>221.3</c:v>
                </c:pt>
                <c:pt idx="81">
                  <c:v>226.3</c:v>
                </c:pt>
                <c:pt idx="82">
                  <c:v>231.3</c:v>
                </c:pt>
                <c:pt idx="83">
                  <c:v>236.3</c:v>
                </c:pt>
                <c:pt idx="84">
                  <c:v>241.3</c:v>
                </c:pt>
                <c:pt idx="85">
                  <c:v>246.3</c:v>
                </c:pt>
                <c:pt idx="86">
                  <c:v>251.3</c:v>
                </c:pt>
                <c:pt idx="87">
                  <c:v>256.3</c:v>
                </c:pt>
                <c:pt idx="88">
                  <c:v>263.3</c:v>
                </c:pt>
                <c:pt idx="89">
                  <c:v>270.3</c:v>
                </c:pt>
                <c:pt idx="90">
                  <c:v>277.3</c:v>
                </c:pt>
                <c:pt idx="91">
                  <c:v>284.3</c:v>
                </c:pt>
                <c:pt idx="92">
                  <c:v>294.3</c:v>
                </c:pt>
                <c:pt idx="93">
                  <c:v>304.3</c:v>
                </c:pt>
                <c:pt idx="94">
                  <c:v>314.3</c:v>
                </c:pt>
                <c:pt idx="95">
                  <c:v>324.3</c:v>
                </c:pt>
                <c:pt idx="96">
                  <c:v>334.3</c:v>
                </c:pt>
                <c:pt idx="97">
                  <c:v>344.3</c:v>
                </c:pt>
                <c:pt idx="98">
                  <c:v>354.3</c:v>
                </c:pt>
                <c:pt idx="99">
                  <c:v>364.3</c:v>
                </c:pt>
                <c:pt idx="100">
                  <c:v>374.3</c:v>
                </c:pt>
                <c:pt idx="101">
                  <c:v>384.3</c:v>
                </c:pt>
                <c:pt idx="102">
                  <c:v>404.3</c:v>
                </c:pt>
                <c:pt idx="103">
                  <c:v>424.3</c:v>
                </c:pt>
                <c:pt idx="104">
                  <c:v>444.3</c:v>
                </c:pt>
                <c:pt idx="105">
                  <c:v>464.3</c:v>
                </c:pt>
                <c:pt idx="106">
                  <c:v>484.3</c:v>
                </c:pt>
                <c:pt idx="107">
                  <c:v>504.3</c:v>
                </c:pt>
                <c:pt idx="108">
                  <c:v>524.29999999999995</c:v>
                </c:pt>
                <c:pt idx="109">
                  <c:v>544.29999999999995</c:v>
                </c:pt>
                <c:pt idx="110">
                  <c:v>564.29999999999995</c:v>
                </c:pt>
                <c:pt idx="111">
                  <c:v>584.29999999999995</c:v>
                </c:pt>
                <c:pt idx="112">
                  <c:v>634.29999999999995</c:v>
                </c:pt>
                <c:pt idx="113">
                  <c:v>684.3</c:v>
                </c:pt>
                <c:pt idx="114">
                  <c:v>734.3</c:v>
                </c:pt>
                <c:pt idx="115">
                  <c:v>784.3</c:v>
                </c:pt>
                <c:pt idx="116">
                  <c:v>834.3</c:v>
                </c:pt>
                <c:pt idx="117">
                  <c:v>884.3</c:v>
                </c:pt>
                <c:pt idx="118">
                  <c:v>984.3</c:v>
                </c:pt>
                <c:pt idx="119">
                  <c:v>1084.3</c:v>
                </c:pt>
                <c:pt idx="120">
                  <c:v>1184.3</c:v>
                </c:pt>
                <c:pt idx="121">
                  <c:v>1284.3</c:v>
                </c:pt>
                <c:pt idx="122">
                  <c:v>1384.3</c:v>
                </c:pt>
                <c:pt idx="123">
                  <c:v>1484.3</c:v>
                </c:pt>
              </c:numCache>
            </c:numRef>
          </c:xVal>
          <c:yVal>
            <c:numRef>
              <c:f>'Dati (2)'!$H$2:$H$130</c:f>
              <c:numCache>
                <c:formatCode>0.00</c:formatCode>
                <c:ptCount val="129"/>
                <c:pt idx="0">
                  <c:v>1748</c:v>
                </c:pt>
                <c:pt idx="1">
                  <c:v>1747</c:v>
                </c:pt>
                <c:pt idx="2">
                  <c:v>1683</c:v>
                </c:pt>
                <c:pt idx="3">
                  <c:v>1663</c:v>
                </c:pt>
                <c:pt idx="4">
                  <c:v>1586</c:v>
                </c:pt>
                <c:pt idx="5">
                  <c:v>1551</c:v>
                </c:pt>
                <c:pt idx="6">
                  <c:v>1490.5</c:v>
                </c:pt>
                <c:pt idx="7">
                  <c:v>1442</c:v>
                </c:pt>
                <c:pt idx="8">
                  <c:v>1425</c:v>
                </c:pt>
                <c:pt idx="9">
                  <c:v>1379.5</c:v>
                </c:pt>
                <c:pt idx="10">
                  <c:v>1344.5</c:v>
                </c:pt>
                <c:pt idx="11">
                  <c:v>1323</c:v>
                </c:pt>
                <c:pt idx="12">
                  <c:v>1294.5</c:v>
                </c:pt>
                <c:pt idx="13">
                  <c:v>1270.5</c:v>
                </c:pt>
                <c:pt idx="14">
                  <c:v>1245.5</c:v>
                </c:pt>
                <c:pt idx="15">
                  <c:v>1220</c:v>
                </c:pt>
                <c:pt idx="16">
                  <c:v>1199.5</c:v>
                </c:pt>
                <c:pt idx="17">
                  <c:v>1177</c:v>
                </c:pt>
                <c:pt idx="18">
                  <c:v>1163.5</c:v>
                </c:pt>
                <c:pt idx="19">
                  <c:v>1134</c:v>
                </c:pt>
                <c:pt idx="20">
                  <c:v>1126.5</c:v>
                </c:pt>
                <c:pt idx="21">
                  <c:v>1101</c:v>
                </c:pt>
                <c:pt idx="22">
                  <c:v>1084.5</c:v>
                </c:pt>
                <c:pt idx="23">
                  <c:v>1062.5</c:v>
                </c:pt>
                <c:pt idx="24">
                  <c:v>1053</c:v>
                </c:pt>
                <c:pt idx="25">
                  <c:v>1041</c:v>
                </c:pt>
                <c:pt idx="26">
                  <c:v>1021</c:v>
                </c:pt>
                <c:pt idx="27">
                  <c:v>1006</c:v>
                </c:pt>
                <c:pt idx="28">
                  <c:v>990.5</c:v>
                </c:pt>
                <c:pt idx="29">
                  <c:v>976</c:v>
                </c:pt>
                <c:pt idx="30">
                  <c:v>956.5</c:v>
                </c:pt>
                <c:pt idx="31">
                  <c:v>951.5</c:v>
                </c:pt>
                <c:pt idx="32">
                  <c:v>940</c:v>
                </c:pt>
                <c:pt idx="33">
                  <c:v>928</c:v>
                </c:pt>
                <c:pt idx="34">
                  <c:v>917.5</c:v>
                </c:pt>
                <c:pt idx="35">
                  <c:v>904.5</c:v>
                </c:pt>
                <c:pt idx="36">
                  <c:v>892.5</c:v>
                </c:pt>
                <c:pt idx="37">
                  <c:v>877</c:v>
                </c:pt>
                <c:pt idx="38">
                  <c:v>873.5</c:v>
                </c:pt>
                <c:pt idx="39">
                  <c:v>862</c:v>
                </c:pt>
                <c:pt idx="40">
                  <c:v>849</c:v>
                </c:pt>
                <c:pt idx="41">
                  <c:v>842</c:v>
                </c:pt>
                <c:pt idx="42">
                  <c:v>828.5</c:v>
                </c:pt>
                <c:pt idx="43">
                  <c:v>822.5</c:v>
                </c:pt>
                <c:pt idx="44">
                  <c:v>815.5</c:v>
                </c:pt>
                <c:pt idx="45">
                  <c:v>803</c:v>
                </c:pt>
                <c:pt idx="46">
                  <c:v>789</c:v>
                </c:pt>
                <c:pt idx="47">
                  <c:v>766.5</c:v>
                </c:pt>
                <c:pt idx="48">
                  <c:v>756</c:v>
                </c:pt>
                <c:pt idx="49">
                  <c:v>747.5</c:v>
                </c:pt>
                <c:pt idx="50">
                  <c:v>728</c:v>
                </c:pt>
                <c:pt idx="51">
                  <c:v>715.5</c:v>
                </c:pt>
                <c:pt idx="52">
                  <c:v>701.5</c:v>
                </c:pt>
                <c:pt idx="53">
                  <c:v>692.5</c:v>
                </c:pt>
                <c:pt idx="54">
                  <c:v>680</c:v>
                </c:pt>
                <c:pt idx="55">
                  <c:v>663</c:v>
                </c:pt>
                <c:pt idx="56">
                  <c:v>651.5</c:v>
                </c:pt>
                <c:pt idx="57">
                  <c:v>647.5</c:v>
                </c:pt>
                <c:pt idx="58">
                  <c:v>635.5</c:v>
                </c:pt>
                <c:pt idx="59">
                  <c:v>631</c:v>
                </c:pt>
                <c:pt idx="60">
                  <c:v>621</c:v>
                </c:pt>
                <c:pt idx="61">
                  <c:v>616</c:v>
                </c:pt>
                <c:pt idx="62">
                  <c:v>606</c:v>
                </c:pt>
                <c:pt idx="63">
                  <c:v>598</c:v>
                </c:pt>
                <c:pt idx="64">
                  <c:v>592</c:v>
                </c:pt>
                <c:pt idx="65">
                  <c:v>577</c:v>
                </c:pt>
                <c:pt idx="66">
                  <c:v>571.5</c:v>
                </c:pt>
                <c:pt idx="67">
                  <c:v>570</c:v>
                </c:pt>
                <c:pt idx="68">
                  <c:v>553</c:v>
                </c:pt>
                <c:pt idx="69">
                  <c:v>546</c:v>
                </c:pt>
                <c:pt idx="70">
                  <c:v>542</c:v>
                </c:pt>
                <c:pt idx="71">
                  <c:v>535</c:v>
                </c:pt>
                <c:pt idx="72">
                  <c:v>524.5</c:v>
                </c:pt>
                <c:pt idx="73">
                  <c:v>520</c:v>
                </c:pt>
                <c:pt idx="74">
                  <c:v>509</c:v>
                </c:pt>
                <c:pt idx="75">
                  <c:v>499.5</c:v>
                </c:pt>
                <c:pt idx="76">
                  <c:v>496</c:v>
                </c:pt>
                <c:pt idx="77">
                  <c:v>486.5</c:v>
                </c:pt>
                <c:pt idx="78">
                  <c:v>481</c:v>
                </c:pt>
                <c:pt idx="79">
                  <c:v>474.5</c:v>
                </c:pt>
                <c:pt idx="80">
                  <c:v>472.5</c:v>
                </c:pt>
                <c:pt idx="81">
                  <c:v>468</c:v>
                </c:pt>
                <c:pt idx="82">
                  <c:v>462</c:v>
                </c:pt>
                <c:pt idx="83">
                  <c:v>456.5</c:v>
                </c:pt>
                <c:pt idx="84">
                  <c:v>451</c:v>
                </c:pt>
                <c:pt idx="85">
                  <c:v>446</c:v>
                </c:pt>
                <c:pt idx="86">
                  <c:v>441</c:v>
                </c:pt>
                <c:pt idx="87">
                  <c:v>436</c:v>
                </c:pt>
                <c:pt idx="88">
                  <c:v>429</c:v>
                </c:pt>
                <c:pt idx="89">
                  <c:v>423.5</c:v>
                </c:pt>
                <c:pt idx="90">
                  <c:v>421</c:v>
                </c:pt>
                <c:pt idx="91">
                  <c:v>412.5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387</c:v>
                </c:pt>
                <c:pt idx="96">
                  <c:v>376.5</c:v>
                </c:pt>
                <c:pt idx="97">
                  <c:v>382.5</c:v>
                </c:pt>
                <c:pt idx="98">
                  <c:v>374.5</c:v>
                </c:pt>
                <c:pt idx="99">
                  <c:v>372</c:v>
                </c:pt>
                <c:pt idx="100">
                  <c:v>367</c:v>
                </c:pt>
                <c:pt idx="101">
                  <c:v>362.5</c:v>
                </c:pt>
                <c:pt idx="102">
                  <c:v>354.5</c:v>
                </c:pt>
                <c:pt idx="103">
                  <c:v>352.5</c:v>
                </c:pt>
                <c:pt idx="104">
                  <c:v>345.5</c:v>
                </c:pt>
                <c:pt idx="105">
                  <c:v>340</c:v>
                </c:pt>
                <c:pt idx="106">
                  <c:v>336.5</c:v>
                </c:pt>
                <c:pt idx="107">
                  <c:v>332.5</c:v>
                </c:pt>
                <c:pt idx="108">
                  <c:v>329</c:v>
                </c:pt>
                <c:pt idx="109">
                  <c:v>325</c:v>
                </c:pt>
                <c:pt idx="110">
                  <c:v>321.5</c:v>
                </c:pt>
                <c:pt idx="111">
                  <c:v>318</c:v>
                </c:pt>
                <c:pt idx="112">
                  <c:v>311.5</c:v>
                </c:pt>
                <c:pt idx="113">
                  <c:v>306</c:v>
                </c:pt>
                <c:pt idx="114">
                  <c:v>302.5</c:v>
                </c:pt>
                <c:pt idx="115">
                  <c:v>296</c:v>
                </c:pt>
                <c:pt idx="116">
                  <c:v>293</c:v>
                </c:pt>
                <c:pt idx="117">
                  <c:v>291</c:v>
                </c:pt>
                <c:pt idx="118">
                  <c:v>286</c:v>
                </c:pt>
                <c:pt idx="119">
                  <c:v>278</c:v>
                </c:pt>
                <c:pt idx="120">
                  <c:v>277</c:v>
                </c:pt>
                <c:pt idx="121">
                  <c:v>275</c:v>
                </c:pt>
                <c:pt idx="122">
                  <c:v>271</c:v>
                </c:pt>
                <c:pt idx="123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E-4C40-B2ED-49917389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088111"/>
        <c:axId val="347867855"/>
      </c:scatterChart>
      <c:valAx>
        <c:axId val="155908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7867855"/>
        <c:crosses val="autoZero"/>
        <c:crossBetween val="midCat"/>
      </c:valAx>
      <c:valAx>
        <c:axId val="3478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908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405439</xdr:colOff>
      <xdr:row>39</xdr:row>
      <xdr:rowOff>15360</xdr:rowOff>
    </xdr:from>
    <xdr:to>
      <xdr:col>33</xdr:col>
      <xdr:colOff>480747</xdr:colOff>
      <xdr:row>87</xdr:row>
      <xdr:rowOff>166899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6DBB-AC44-6B40-50CB-C2C79B2AA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37491</xdr:colOff>
      <xdr:row>8</xdr:row>
      <xdr:rowOff>94543</xdr:rowOff>
    </xdr:from>
    <xdr:to>
      <xdr:col>44</xdr:col>
      <xdr:colOff>405581</xdr:colOff>
      <xdr:row>28</xdr:row>
      <xdr:rowOff>65692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5501E-FF4F-6766-BF94-30B0C39FB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392466</xdr:colOff>
      <xdr:row>3</xdr:row>
      <xdr:rowOff>1</xdr:rowOff>
    </xdr:from>
    <xdr:to>
      <xdr:col>33</xdr:col>
      <xdr:colOff>263830</xdr:colOff>
      <xdr:row>39</xdr:row>
      <xdr:rowOff>11443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66F096-7769-0562-0383-11DF1DBD2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348115</xdr:colOff>
      <xdr:row>26</xdr:row>
      <xdr:rowOff>50133</xdr:rowOff>
    </xdr:from>
    <xdr:to>
      <xdr:col>28</xdr:col>
      <xdr:colOff>431132</xdr:colOff>
      <xdr:row>53</xdr:row>
      <xdr:rowOff>150396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73106-7C82-4CB8-8374-6B1DFB321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350920</xdr:colOff>
      <xdr:row>0</xdr:row>
      <xdr:rowOff>0</xdr:rowOff>
    </xdr:from>
    <xdr:to>
      <xdr:col>27</xdr:col>
      <xdr:colOff>391025</xdr:colOff>
      <xdr:row>26</xdr:row>
      <xdr:rowOff>8021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38EFD-2B3D-4FE0-A759-90BD97B61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MIROLO MANUELE [SM2001968]" id="{095893E3-3A15-431A-8AD1-93B6262F877A}" userId="S::s314845@ds.units.it::a8968b4f-25cc-4a01-98d4-7c5bb5043b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10-14T12:37:08.63" personId="{095893E3-3A15-431A-8AD1-93B6262F877A}" id="{8F9FD4D8-9329-4419-88E1-4D29327B2685}">
    <text>Inserire qui finchè non si riesce a misurare y_max, appena si riesce copiare i valori nella colonna y_max e continuare su quella colonna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11" sqref="A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1">
        <v>104</v>
      </c>
      <c r="B2" s="1">
        <f>1/20</f>
        <v>0.05</v>
      </c>
      <c r="C2" s="1">
        <f>B5/SQRT(3)</f>
        <v>2.8867513459481291E-2</v>
      </c>
    </row>
    <row r="4" spans="1:4" x14ac:dyDescent="0.3">
      <c r="A4" s="1" t="s">
        <v>3</v>
      </c>
      <c r="B4" s="1" t="s">
        <v>4</v>
      </c>
      <c r="C4" s="1" t="s">
        <v>5</v>
      </c>
    </row>
    <row r="5" spans="1:4" x14ac:dyDescent="0.3">
      <c r="A5" s="1">
        <v>17</v>
      </c>
      <c r="B5" s="1">
        <f>1/20</f>
        <v>0.05</v>
      </c>
      <c r="C5" s="1">
        <f>B5/SQRT(3)</f>
        <v>2.8867513459481291E-2</v>
      </c>
    </row>
    <row r="7" spans="1:4" x14ac:dyDescent="0.3">
      <c r="A7" s="1" t="s">
        <v>6</v>
      </c>
      <c r="B7" s="1" t="s">
        <v>8</v>
      </c>
      <c r="C7" s="1" t="s">
        <v>10</v>
      </c>
      <c r="D7" s="1" t="s">
        <v>14</v>
      </c>
    </row>
    <row r="8" spans="1:4" x14ac:dyDescent="0.3">
      <c r="A8" s="1">
        <v>237</v>
      </c>
      <c r="B8" s="1">
        <v>0.2</v>
      </c>
      <c r="C8" s="1">
        <f>B8/SQRT(3)</f>
        <v>0.11547005383792516</v>
      </c>
      <c r="D8" s="1">
        <f>B8/SQRT(3)</f>
        <v>0.11547005383792516</v>
      </c>
    </row>
    <row r="10" spans="1:4" x14ac:dyDescent="0.3">
      <c r="A10" s="1" t="s">
        <v>7</v>
      </c>
      <c r="B10" s="1" t="s">
        <v>9</v>
      </c>
      <c r="C10" s="1" t="s">
        <v>11</v>
      </c>
      <c r="D10" s="1" t="s">
        <v>13</v>
      </c>
    </row>
    <row r="11" spans="1:4" x14ac:dyDescent="0.3">
      <c r="A11" s="1">
        <v>131</v>
      </c>
      <c r="B11" s="1">
        <v>0.2</v>
      </c>
      <c r="C11" s="1">
        <f>B11/SQRT(3)</f>
        <v>0.11547005383792516</v>
      </c>
      <c r="D11" s="1">
        <f>B11/SQRT(3)</f>
        <v>0.11547005383792516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728D-DB7A-48AC-96F2-90D17D913CED}">
  <dimension ref="A1:V117"/>
  <sheetViews>
    <sheetView tabSelected="1" topLeftCell="A110" zoomScale="68" workbookViewId="0">
      <selection activeCell="B118" sqref="B118"/>
    </sheetView>
  </sheetViews>
  <sheetFormatPr defaultRowHeight="14.4" x14ac:dyDescent="0.3"/>
  <cols>
    <col min="7" max="7" width="9.33203125" bestFit="1" customWidth="1"/>
  </cols>
  <sheetData>
    <row r="1" spans="1:22" x14ac:dyDescent="0.3">
      <c r="A1" t="s">
        <v>12</v>
      </c>
      <c r="B1" t="s">
        <v>21</v>
      </c>
      <c r="C1" t="s">
        <v>20</v>
      </c>
      <c r="D1" t="s">
        <v>15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</row>
    <row r="2" spans="1:22" x14ac:dyDescent="0.3">
      <c r="A2">
        <v>251</v>
      </c>
      <c r="B2">
        <v>1802</v>
      </c>
      <c r="C2">
        <v>1841</v>
      </c>
      <c r="D2">
        <f>IF(C2=0, B2, GEOMEAN(B2:C2))</f>
        <v>1821.3956187495346</v>
      </c>
      <c r="E2">
        <f>MAX(Parametri!$D$8, ABS(B2-C2)/(2*SQRT(3)))</f>
        <v>11.258330249197703</v>
      </c>
      <c r="F2">
        <f>(A2-Parametri!$A$11)+Parametri!$A$2+(Parametri!$A$5/2)</f>
        <v>232.5</v>
      </c>
      <c r="G2" s="3">
        <f>(D2-Parametri!$A$8)-(A2-Parametri!$A$11)+Parametri!$A$2</f>
        <v>1568.3956187495346</v>
      </c>
      <c r="H2">
        <f>E2</f>
        <v>11.258330249197703</v>
      </c>
      <c r="I2">
        <f>Parametri!$D$8</f>
        <v>0.11547005383792516</v>
      </c>
      <c r="K2" s="4">
        <f>C2-B2</f>
        <v>39</v>
      </c>
      <c r="L2" t="s">
        <v>23</v>
      </c>
      <c r="U2">
        <v>0</v>
      </c>
      <c r="V2">
        <v>0</v>
      </c>
    </row>
    <row r="3" spans="1:22" x14ac:dyDescent="0.3">
      <c r="A3" s="2">
        <f>A2+1</f>
        <v>252</v>
      </c>
      <c r="B3">
        <v>1719</v>
      </c>
      <c r="C3">
        <v>1836</v>
      </c>
      <c r="D3">
        <f t="shared" ref="D3:D66" si="0">IF(C3=0, B3, GEOMEAN(B3:C3))</f>
        <v>1776.5370809527169</v>
      </c>
      <c r="E3">
        <f>MAX(Parametri!$D$8, ABS(B3-C3)/(2*SQRT(3)))</f>
        <v>33.774990747593108</v>
      </c>
      <c r="F3">
        <f>(A3-Parametri!$A$11)+Parametri!$A$2+(Parametri!$A$5/2)</f>
        <v>233.5</v>
      </c>
      <c r="G3" s="3">
        <f>(D3-Parametri!$A$8)-(A3-Parametri!$A$11)+Parametri!$A$2</f>
        <v>1522.5370809527169</v>
      </c>
      <c r="H3">
        <f t="shared" ref="H3:H66" si="1">E3</f>
        <v>33.774990747593108</v>
      </c>
      <c r="I3">
        <f>Parametri!$D$8</f>
        <v>0.11547005383792516</v>
      </c>
      <c r="K3" s="4">
        <f t="shared" ref="K3:K66" si="2">C3-B3</f>
        <v>117</v>
      </c>
      <c r="L3" t="s">
        <v>24</v>
      </c>
      <c r="U3">
        <v>2000</v>
      </c>
      <c r="V3">
        <v>2000</v>
      </c>
    </row>
    <row r="4" spans="1:22" x14ac:dyDescent="0.3">
      <c r="A4" s="2">
        <f t="shared" ref="A4:A35" si="3">A3+1</f>
        <v>253</v>
      </c>
      <c r="B4">
        <v>1690</v>
      </c>
      <c r="C4">
        <v>1853</v>
      </c>
      <c r="D4">
        <f t="shared" si="0"/>
        <v>1769.6242539025059</v>
      </c>
      <c r="E4">
        <f>MAX(Parametri!$D$8, ABS(B4-C4)/(2*SQRT(3)))</f>
        <v>47.0540469389545</v>
      </c>
      <c r="F4">
        <f>(A4-Parametri!$A$11)+Parametri!$A$2+(Parametri!$A$5/2)</f>
        <v>234.5</v>
      </c>
      <c r="G4" s="3">
        <f>(D4-Parametri!$A$8)-(A4-Parametri!$A$11)+Parametri!$A$2</f>
        <v>1514.6242539025059</v>
      </c>
      <c r="H4">
        <f t="shared" si="1"/>
        <v>47.0540469389545</v>
      </c>
      <c r="I4">
        <f>Parametri!$D$8</f>
        <v>0.11547005383792516</v>
      </c>
      <c r="K4" s="4">
        <f t="shared" si="2"/>
        <v>163</v>
      </c>
    </row>
    <row r="5" spans="1:22" x14ac:dyDescent="0.3">
      <c r="A5" s="2">
        <f t="shared" si="3"/>
        <v>254</v>
      </c>
      <c r="B5">
        <v>1630</v>
      </c>
      <c r="C5">
        <v>1782</v>
      </c>
      <c r="D5">
        <f t="shared" si="0"/>
        <v>1704.3063104970304</v>
      </c>
      <c r="E5">
        <f>MAX(Parametri!$D$8, ABS(B5-C5)/(2*SQRT(3)))</f>
        <v>43.878620458411561</v>
      </c>
      <c r="F5">
        <f>(A5-Parametri!$A$11)+Parametri!$A$2+(Parametri!$A$5/2)</f>
        <v>235.5</v>
      </c>
      <c r="G5" s="3">
        <f>(D5-Parametri!$A$8)-(A5-Parametri!$A$11)+Parametri!$A$2</f>
        <v>1448.3063104970304</v>
      </c>
      <c r="H5">
        <f t="shared" si="1"/>
        <v>43.878620458411561</v>
      </c>
      <c r="I5">
        <f>Parametri!$D$8</f>
        <v>0.11547005383792516</v>
      </c>
      <c r="K5" s="4">
        <f t="shared" si="2"/>
        <v>152</v>
      </c>
    </row>
    <row r="6" spans="1:22" x14ac:dyDescent="0.3">
      <c r="A6" s="2">
        <f t="shared" si="3"/>
        <v>255</v>
      </c>
      <c r="B6">
        <v>1605</v>
      </c>
      <c r="C6">
        <v>1745</v>
      </c>
      <c r="D6">
        <f t="shared" si="0"/>
        <v>1673.5366742321485</v>
      </c>
      <c r="E6">
        <f>MAX(Parametri!$D$8, ABS(B6-C6)/(2*SQRT(3)))</f>
        <v>40.414518843273804</v>
      </c>
      <c r="F6">
        <f>(A6-Parametri!$A$11)+Parametri!$A$2+(Parametri!$A$5/2)</f>
        <v>236.5</v>
      </c>
      <c r="G6" s="3">
        <f>(D6-Parametri!$A$8)-(A6-Parametri!$A$11)+Parametri!$A$2</f>
        <v>1416.5366742321485</v>
      </c>
      <c r="H6">
        <f t="shared" si="1"/>
        <v>40.414518843273804</v>
      </c>
      <c r="I6">
        <f>Parametri!$D$8</f>
        <v>0.11547005383792516</v>
      </c>
      <c r="K6" s="4">
        <f t="shared" si="2"/>
        <v>140</v>
      </c>
    </row>
    <row r="7" spans="1:22" x14ac:dyDescent="0.3">
      <c r="A7" s="2">
        <f t="shared" si="3"/>
        <v>256</v>
      </c>
      <c r="B7">
        <v>1574</v>
      </c>
      <c r="C7">
        <v>1710</v>
      </c>
      <c r="D7">
        <f t="shared" si="0"/>
        <v>1640.5913567979078</v>
      </c>
      <c r="E7">
        <f>MAX(Parametri!$D$8, ABS(B7-C7)/(2*SQRT(3)))</f>
        <v>39.259818304894551</v>
      </c>
      <c r="F7">
        <f>(A7-Parametri!$A$11)+Parametri!$A$2+(Parametri!$A$5/2)</f>
        <v>237.5</v>
      </c>
      <c r="G7" s="3">
        <f>(D7-Parametri!$A$8)-(A7-Parametri!$A$11)+Parametri!$A$2</f>
        <v>1382.5913567979078</v>
      </c>
      <c r="H7">
        <f t="shared" si="1"/>
        <v>39.259818304894551</v>
      </c>
      <c r="I7">
        <f>Parametri!$D$8</f>
        <v>0.11547005383792516</v>
      </c>
      <c r="K7" s="4">
        <f t="shared" si="2"/>
        <v>136</v>
      </c>
    </row>
    <row r="8" spans="1:22" x14ac:dyDescent="0.3">
      <c r="A8" s="2">
        <f t="shared" si="3"/>
        <v>257</v>
      </c>
      <c r="B8">
        <v>1546</v>
      </c>
      <c r="C8">
        <v>1679</v>
      </c>
      <c r="D8">
        <f t="shared" si="0"/>
        <v>1611.1281761548335</v>
      </c>
      <c r="E8">
        <f>MAX(Parametri!$D$8, ABS(B8-C8)/(2*SQRT(3)))</f>
        <v>38.393792901110118</v>
      </c>
      <c r="F8">
        <f>(A8-Parametri!$A$11)+Parametri!$A$2+(Parametri!$A$5/2)</f>
        <v>238.5</v>
      </c>
      <c r="G8" s="3">
        <f>(D8-Parametri!$A$8)-(A8-Parametri!$A$11)+Parametri!$A$2</f>
        <v>1352.1281761548335</v>
      </c>
      <c r="H8">
        <f t="shared" si="1"/>
        <v>38.393792901110118</v>
      </c>
      <c r="I8">
        <f>Parametri!$D$8</f>
        <v>0.11547005383792516</v>
      </c>
      <c r="K8" s="4">
        <f t="shared" si="2"/>
        <v>133</v>
      </c>
    </row>
    <row r="9" spans="1:22" x14ac:dyDescent="0.3">
      <c r="A9" s="2">
        <f t="shared" si="3"/>
        <v>258</v>
      </c>
      <c r="B9">
        <v>1525</v>
      </c>
      <c r="C9">
        <v>1629</v>
      </c>
      <c r="D9">
        <f t="shared" si="0"/>
        <v>1576.1424428014113</v>
      </c>
      <c r="E9">
        <f>MAX(Parametri!$D$8, ABS(B9-C9)/(2*SQRT(3)))</f>
        <v>30.02221399786054</v>
      </c>
      <c r="F9">
        <f>(A9-Parametri!$A$11)+Parametri!$A$2+(Parametri!$A$5/2)</f>
        <v>239.5</v>
      </c>
      <c r="G9" s="3">
        <f>(D9-Parametri!$A$8)-(A9-Parametri!$A$11)+Parametri!$A$2</f>
        <v>1316.1424428014113</v>
      </c>
      <c r="H9">
        <f t="shared" si="1"/>
        <v>30.02221399786054</v>
      </c>
      <c r="I9">
        <f>Parametri!$D$8</f>
        <v>0.11547005383792516</v>
      </c>
      <c r="K9" s="4">
        <f t="shared" si="2"/>
        <v>104</v>
      </c>
    </row>
    <row r="10" spans="1:22" x14ac:dyDescent="0.3">
      <c r="A10" s="2">
        <f t="shared" si="3"/>
        <v>259</v>
      </c>
      <c r="B10">
        <v>1505</v>
      </c>
      <c r="C10">
        <v>1603</v>
      </c>
      <c r="D10">
        <f t="shared" si="0"/>
        <v>1553.227285364251</v>
      </c>
      <c r="E10">
        <f>MAX(Parametri!$D$8, ABS(B10-C10)/(2*SQRT(3)))</f>
        <v>28.290163190291665</v>
      </c>
      <c r="F10">
        <f>(A10-Parametri!$A$11)+Parametri!$A$2+(Parametri!$A$5/2)</f>
        <v>240.5</v>
      </c>
      <c r="G10" s="3">
        <f>(D10-Parametri!$A$8)-(A10-Parametri!$A$11)+Parametri!$A$2</f>
        <v>1292.227285364251</v>
      </c>
      <c r="H10">
        <f t="shared" si="1"/>
        <v>28.290163190291665</v>
      </c>
      <c r="I10">
        <f>Parametri!$D$8</f>
        <v>0.11547005383792516</v>
      </c>
      <c r="K10">
        <f t="shared" si="2"/>
        <v>98</v>
      </c>
    </row>
    <row r="11" spans="1:22" x14ac:dyDescent="0.3">
      <c r="A11" s="2">
        <f t="shared" si="3"/>
        <v>260</v>
      </c>
      <c r="B11">
        <v>1467</v>
      </c>
      <c r="C11">
        <v>1572</v>
      </c>
      <c r="D11">
        <f t="shared" si="0"/>
        <v>1518.5927696390497</v>
      </c>
      <c r="E11">
        <f>MAX(Parametri!$D$8, ABS(B11-C11)/(2*SQRT(3)))</f>
        <v>30.310889132455355</v>
      </c>
      <c r="F11">
        <f>(A11-Parametri!$A$11)+Parametri!$A$2+(Parametri!$A$5/2)</f>
        <v>241.5</v>
      </c>
      <c r="G11" s="3">
        <f>(D11-Parametri!$A$8)-(A11-Parametri!$A$11)+Parametri!$A$2</f>
        <v>1256.5927696390497</v>
      </c>
      <c r="H11">
        <f t="shared" si="1"/>
        <v>30.310889132455355</v>
      </c>
      <c r="I11">
        <f>Parametri!$D$8</f>
        <v>0.11547005383792516</v>
      </c>
      <c r="K11">
        <f t="shared" si="2"/>
        <v>105</v>
      </c>
    </row>
    <row r="12" spans="1:22" x14ac:dyDescent="0.3">
      <c r="A12" s="2">
        <f t="shared" si="3"/>
        <v>261</v>
      </c>
      <c r="B12">
        <v>1452</v>
      </c>
      <c r="C12">
        <v>1534</v>
      </c>
      <c r="D12">
        <f t="shared" si="0"/>
        <v>1492.4369333409034</v>
      </c>
      <c r="E12">
        <f>MAX(Parametri!$D$8, ABS(B12-C12)/(2*SQRT(3)))</f>
        <v>23.671361036774659</v>
      </c>
      <c r="F12">
        <f>(A12-Parametri!$A$11)+Parametri!$A$2+(Parametri!$A$5/2)</f>
        <v>242.5</v>
      </c>
      <c r="G12" s="3">
        <f>(D12-Parametri!$A$8)-(A12-Parametri!$A$11)+Parametri!$A$2</f>
        <v>1229.4369333409034</v>
      </c>
      <c r="H12">
        <f t="shared" si="1"/>
        <v>23.671361036774659</v>
      </c>
      <c r="I12">
        <f>Parametri!$D$8</f>
        <v>0.11547005383792516</v>
      </c>
      <c r="K12">
        <f t="shared" si="2"/>
        <v>82</v>
      </c>
    </row>
    <row r="13" spans="1:22" x14ac:dyDescent="0.3">
      <c r="A13" s="2">
        <f t="shared" si="3"/>
        <v>262</v>
      </c>
      <c r="B13">
        <v>1442</v>
      </c>
      <c r="C13">
        <v>1520</v>
      </c>
      <c r="D13">
        <f t="shared" si="0"/>
        <v>1480.4864065569802</v>
      </c>
      <c r="E13">
        <f>MAX(Parametri!$D$8, ABS(B13-C13)/(2*SQRT(3)))</f>
        <v>22.516660498395407</v>
      </c>
      <c r="F13">
        <f>(A13-Parametri!$A$11)+Parametri!$A$2+(Parametri!$A$5/2)</f>
        <v>243.5</v>
      </c>
      <c r="G13" s="3">
        <f>(D13-Parametri!$A$8)-(A13-Parametri!$A$11)+Parametri!$A$2</f>
        <v>1216.4864065569802</v>
      </c>
      <c r="H13">
        <f t="shared" si="1"/>
        <v>22.516660498395407</v>
      </c>
      <c r="I13">
        <f>Parametri!$D$8</f>
        <v>0.11547005383792516</v>
      </c>
      <c r="K13">
        <f t="shared" si="2"/>
        <v>78</v>
      </c>
    </row>
    <row r="14" spans="1:22" x14ac:dyDescent="0.3">
      <c r="A14" s="2">
        <f t="shared" si="3"/>
        <v>263</v>
      </c>
      <c r="B14">
        <v>1402</v>
      </c>
      <c r="C14">
        <v>1485</v>
      </c>
      <c r="D14">
        <f t="shared" si="0"/>
        <v>1442.9033231647918</v>
      </c>
      <c r="E14">
        <f>MAX(Parametri!$D$8, ABS(B14-C14)/(2*SQRT(3)))</f>
        <v>23.96003617136947</v>
      </c>
      <c r="F14">
        <f>(A14-Parametri!$A$11)+Parametri!$A$2+(Parametri!$A$5/2)</f>
        <v>244.5</v>
      </c>
      <c r="G14" s="3">
        <f>(D14-Parametri!$A$8)-(A14-Parametri!$A$11)+Parametri!$A$2</f>
        <v>1177.9033231647918</v>
      </c>
      <c r="H14">
        <f t="shared" si="1"/>
        <v>23.96003617136947</v>
      </c>
      <c r="I14">
        <f>Parametri!$D$8</f>
        <v>0.11547005383792516</v>
      </c>
      <c r="K14">
        <f t="shared" si="2"/>
        <v>83</v>
      </c>
    </row>
    <row r="15" spans="1:22" x14ac:dyDescent="0.3">
      <c r="A15" s="2">
        <f t="shared" si="3"/>
        <v>264</v>
      </c>
      <c r="B15">
        <v>1391</v>
      </c>
      <c r="C15">
        <v>1462</v>
      </c>
      <c r="D15">
        <f t="shared" si="0"/>
        <v>1426.0582035807654</v>
      </c>
      <c r="E15">
        <f>MAX(Parametri!$D$8, ABS(B15-C15)/(2*SQRT(3)))</f>
        <v>20.495934556231717</v>
      </c>
      <c r="F15">
        <f>(A15-Parametri!$A$11)+Parametri!$A$2+(Parametri!$A$5/2)</f>
        <v>245.5</v>
      </c>
      <c r="G15" s="3">
        <f>(D15-Parametri!$A$8)-(A15-Parametri!$A$11)+Parametri!$A$2</f>
        <v>1160.0582035807654</v>
      </c>
      <c r="H15">
        <f t="shared" si="1"/>
        <v>20.495934556231717</v>
      </c>
      <c r="I15">
        <f>Parametri!$D$8</f>
        <v>0.11547005383792516</v>
      </c>
      <c r="K15">
        <f t="shared" si="2"/>
        <v>71</v>
      </c>
    </row>
    <row r="16" spans="1:22" x14ac:dyDescent="0.3">
      <c r="A16" s="2">
        <f t="shared" si="3"/>
        <v>265</v>
      </c>
      <c r="B16">
        <v>1365</v>
      </c>
      <c r="C16">
        <v>1436</v>
      </c>
      <c r="D16">
        <f t="shared" si="0"/>
        <v>1400.0499991071747</v>
      </c>
      <c r="E16">
        <f>MAX(Parametri!$D$8, ABS(B16-C16)/(2*SQRT(3)))</f>
        <v>20.495934556231717</v>
      </c>
      <c r="F16">
        <f>(A16-Parametri!$A$11)+Parametri!$A$2+(Parametri!$A$5/2)</f>
        <v>246.5</v>
      </c>
      <c r="G16" s="3">
        <f>(D16-Parametri!$A$8)-(A16-Parametri!$A$11)+Parametri!$A$2</f>
        <v>1133.0499991071747</v>
      </c>
      <c r="H16">
        <f t="shared" si="1"/>
        <v>20.495934556231717</v>
      </c>
      <c r="I16">
        <f>Parametri!$D$8</f>
        <v>0.11547005383792516</v>
      </c>
      <c r="K16">
        <f t="shared" si="2"/>
        <v>71</v>
      </c>
    </row>
    <row r="17" spans="1:11" x14ac:dyDescent="0.3">
      <c r="A17" s="2">
        <f t="shared" si="3"/>
        <v>266</v>
      </c>
      <c r="B17">
        <v>1358</v>
      </c>
      <c r="C17">
        <v>1431</v>
      </c>
      <c r="D17">
        <f t="shared" si="0"/>
        <v>1394.0222379861807</v>
      </c>
      <c r="E17">
        <f>MAX(Parametri!$D$8, ABS(B17-C17)/(2*SQRT(3)))</f>
        <v>21.073284825421343</v>
      </c>
      <c r="F17">
        <f>(A17-Parametri!$A$11)+Parametri!$A$2+(Parametri!$A$5/2)</f>
        <v>247.5</v>
      </c>
      <c r="G17" s="3">
        <f>(D17-Parametri!$A$8)-(A17-Parametri!$A$11)+Parametri!$A$2</f>
        <v>1126.0222379861807</v>
      </c>
      <c r="H17">
        <f t="shared" si="1"/>
        <v>21.073284825421343</v>
      </c>
      <c r="I17">
        <f>Parametri!$D$8</f>
        <v>0.11547005383792516</v>
      </c>
      <c r="K17">
        <f t="shared" si="2"/>
        <v>73</v>
      </c>
    </row>
    <row r="18" spans="1:11" x14ac:dyDescent="0.3">
      <c r="A18" s="2">
        <f t="shared" si="3"/>
        <v>267</v>
      </c>
      <c r="B18">
        <v>1346</v>
      </c>
      <c r="C18">
        <v>1406</v>
      </c>
      <c r="D18">
        <f t="shared" si="0"/>
        <v>1375.6729262437348</v>
      </c>
      <c r="E18">
        <f>MAX(Parametri!$D$8, ABS(B18-C18)/(2*SQRT(3)))</f>
        <v>17.320508075688775</v>
      </c>
      <c r="F18">
        <f>(A18-Parametri!$A$11)+Parametri!$A$2+(Parametri!$A$5/2)</f>
        <v>248.5</v>
      </c>
      <c r="G18" s="3">
        <f>(D18-Parametri!$A$8)-(A18-Parametri!$A$11)+Parametri!$A$2</f>
        <v>1106.6729262437348</v>
      </c>
      <c r="H18">
        <f t="shared" si="1"/>
        <v>17.320508075688775</v>
      </c>
      <c r="I18">
        <f>Parametri!$D$8</f>
        <v>0.11547005383792516</v>
      </c>
      <c r="K18">
        <f t="shared" si="2"/>
        <v>60</v>
      </c>
    </row>
    <row r="19" spans="1:11" x14ac:dyDescent="0.3">
      <c r="A19" s="2">
        <f t="shared" si="3"/>
        <v>268</v>
      </c>
      <c r="B19">
        <v>1323</v>
      </c>
      <c r="C19">
        <v>1390</v>
      </c>
      <c r="D19">
        <f t="shared" si="0"/>
        <v>1356.0862804408871</v>
      </c>
      <c r="E19">
        <f>MAX(Parametri!$D$8, ABS(B19-C19)/(2*SQRT(3)))</f>
        <v>19.341234017852464</v>
      </c>
      <c r="F19">
        <f>(A19-Parametri!$A$11)+Parametri!$A$2+(Parametri!$A$5/2)</f>
        <v>249.5</v>
      </c>
      <c r="G19" s="3">
        <f>(D19-Parametri!$A$8)-(A19-Parametri!$A$11)+Parametri!$A$2</f>
        <v>1086.0862804408871</v>
      </c>
      <c r="H19">
        <f t="shared" si="1"/>
        <v>19.341234017852464</v>
      </c>
      <c r="I19">
        <f>Parametri!$D$8</f>
        <v>0.11547005383792516</v>
      </c>
      <c r="K19">
        <f t="shared" si="2"/>
        <v>67</v>
      </c>
    </row>
    <row r="20" spans="1:11" x14ac:dyDescent="0.3">
      <c r="A20" s="2">
        <f t="shared" si="3"/>
        <v>269</v>
      </c>
      <c r="B20">
        <v>1303</v>
      </c>
      <c r="C20">
        <v>1368</v>
      </c>
      <c r="D20">
        <f t="shared" si="0"/>
        <v>1335.1044902928011</v>
      </c>
      <c r="E20">
        <f>MAX(Parametri!$D$8, ABS(B20-C20)/(2*SQRT(3)))</f>
        <v>18.763883748662838</v>
      </c>
      <c r="F20">
        <f>(A20-Parametri!$A$11)+Parametri!$A$2+(Parametri!$A$5/2)</f>
        <v>250.5</v>
      </c>
      <c r="G20" s="3">
        <f>(D20-Parametri!$A$8)-(A20-Parametri!$A$11)+Parametri!$A$2</f>
        <v>1064.1044902928011</v>
      </c>
      <c r="H20">
        <f t="shared" si="1"/>
        <v>18.763883748662838</v>
      </c>
      <c r="I20">
        <f>Parametri!$D$8</f>
        <v>0.11547005383792516</v>
      </c>
      <c r="K20">
        <f t="shared" si="2"/>
        <v>65</v>
      </c>
    </row>
    <row r="21" spans="1:11" x14ac:dyDescent="0.3">
      <c r="A21" s="2">
        <f t="shared" si="3"/>
        <v>270</v>
      </c>
      <c r="B21">
        <v>1294</v>
      </c>
      <c r="C21">
        <v>1346</v>
      </c>
      <c r="D21">
        <f t="shared" si="0"/>
        <v>1319.7439145531227</v>
      </c>
      <c r="E21">
        <f>MAX(Parametri!$D$8, ABS(B21-C21)/(2*SQRT(3)))</f>
        <v>15.01110699893027</v>
      </c>
      <c r="F21">
        <f>(A21-Parametri!$A$11)+Parametri!$A$2+(Parametri!$A$5/2)</f>
        <v>251.5</v>
      </c>
      <c r="G21" s="3">
        <f>(D21-Parametri!$A$8)-(A21-Parametri!$A$11)+Parametri!$A$2</f>
        <v>1047.7439145531227</v>
      </c>
      <c r="H21">
        <f t="shared" si="1"/>
        <v>15.01110699893027</v>
      </c>
      <c r="I21">
        <f>Parametri!$D$8</f>
        <v>0.11547005383792516</v>
      </c>
      <c r="K21">
        <f t="shared" si="2"/>
        <v>52</v>
      </c>
    </row>
    <row r="22" spans="1:11" x14ac:dyDescent="0.3">
      <c r="A22" s="2">
        <f t="shared" si="3"/>
        <v>271</v>
      </c>
      <c r="B22">
        <v>1276</v>
      </c>
      <c r="C22">
        <v>1324</v>
      </c>
      <c r="D22">
        <f t="shared" si="0"/>
        <v>1299.778442658594</v>
      </c>
      <c r="E22">
        <f>MAX(Parametri!$D$8, ABS(B22-C22)/(2*SQRT(3)))</f>
        <v>13.856406460551019</v>
      </c>
      <c r="F22">
        <f>(A22-Parametri!$A$11)+Parametri!$A$2+(Parametri!$A$5/2)</f>
        <v>252.5</v>
      </c>
      <c r="G22" s="3">
        <f>(D22-Parametri!$A$8)-(A22-Parametri!$A$11)+Parametri!$A$2</f>
        <v>1026.778442658594</v>
      </c>
      <c r="H22">
        <f t="shared" si="1"/>
        <v>13.856406460551019</v>
      </c>
      <c r="I22">
        <f>Parametri!$D$8</f>
        <v>0.11547005383792516</v>
      </c>
      <c r="K22">
        <f t="shared" si="2"/>
        <v>48</v>
      </c>
    </row>
    <row r="23" spans="1:11" x14ac:dyDescent="0.3">
      <c r="A23" s="2">
        <f t="shared" si="3"/>
        <v>272</v>
      </c>
      <c r="B23">
        <v>1264</v>
      </c>
      <c r="C23">
        <v>1314</v>
      </c>
      <c r="D23">
        <f t="shared" si="0"/>
        <v>1288.7575412000506</v>
      </c>
      <c r="E23">
        <f>MAX(Parametri!$D$8, ABS(B23-C23)/(2*SQRT(3)))</f>
        <v>14.433756729740645</v>
      </c>
      <c r="F23">
        <f>(A23-Parametri!$A$11)+Parametri!$A$2+(Parametri!$A$5/2)</f>
        <v>253.5</v>
      </c>
      <c r="G23" s="3">
        <f>(D23-Parametri!$A$8)-(A23-Parametri!$A$11)+Parametri!$A$2</f>
        <v>1014.7575412000506</v>
      </c>
      <c r="H23">
        <f t="shared" si="1"/>
        <v>14.433756729740645</v>
      </c>
      <c r="I23">
        <f>Parametri!$D$8</f>
        <v>0.11547005383792516</v>
      </c>
      <c r="K23">
        <f t="shared" si="2"/>
        <v>50</v>
      </c>
    </row>
    <row r="24" spans="1:11" x14ac:dyDescent="0.3">
      <c r="A24" s="2">
        <f t="shared" si="3"/>
        <v>273</v>
      </c>
      <c r="B24">
        <v>1241</v>
      </c>
      <c r="C24">
        <v>1304</v>
      </c>
      <c r="D24">
        <f t="shared" si="0"/>
        <v>1272.1100581317639</v>
      </c>
      <c r="E24">
        <f>MAX(Parametri!$D$8, ABS(B24-C24)/(2*SQRT(3)))</f>
        <v>18.186533479473212</v>
      </c>
      <c r="F24">
        <f>(A24-Parametri!$A$11)+Parametri!$A$2+(Parametri!$A$5/2)</f>
        <v>254.5</v>
      </c>
      <c r="G24" s="3">
        <f>(D24-Parametri!$A$8)-(A24-Parametri!$A$11)+Parametri!$A$2</f>
        <v>997.11005813176394</v>
      </c>
      <c r="H24">
        <f t="shared" si="1"/>
        <v>18.186533479473212</v>
      </c>
      <c r="I24">
        <f>Parametri!$D$8</f>
        <v>0.11547005383792516</v>
      </c>
      <c r="K24">
        <f t="shared" si="2"/>
        <v>63</v>
      </c>
    </row>
    <row r="25" spans="1:11" x14ac:dyDescent="0.3">
      <c r="A25" s="2">
        <f t="shared" si="3"/>
        <v>274</v>
      </c>
      <c r="B25">
        <v>1236</v>
      </c>
      <c r="C25">
        <v>1289</v>
      </c>
      <c r="D25">
        <f t="shared" si="0"/>
        <v>1262.221850547676</v>
      </c>
      <c r="E25">
        <f>MAX(Parametri!$D$8, ABS(B25-C25)/(2*SQRT(3)))</f>
        <v>15.299782133525083</v>
      </c>
      <c r="F25">
        <f>(A25-Parametri!$A$11)+Parametri!$A$2+(Parametri!$A$5/2)</f>
        <v>255.5</v>
      </c>
      <c r="G25" s="3">
        <f>(D25-Parametri!$A$8)-(A25-Parametri!$A$11)+Parametri!$A$2</f>
        <v>986.22185054767601</v>
      </c>
      <c r="H25">
        <f t="shared" si="1"/>
        <v>15.299782133525083</v>
      </c>
      <c r="I25">
        <f>Parametri!$D$8</f>
        <v>0.11547005383792516</v>
      </c>
      <c r="K25">
        <f t="shared" si="2"/>
        <v>53</v>
      </c>
    </row>
    <row r="26" spans="1:11" x14ac:dyDescent="0.3">
      <c r="A26" s="2">
        <f t="shared" si="3"/>
        <v>275</v>
      </c>
      <c r="B26">
        <v>1221</v>
      </c>
      <c r="C26">
        <v>1268</v>
      </c>
      <c r="D26">
        <f t="shared" si="0"/>
        <v>1244.2781039622935</v>
      </c>
      <c r="E26">
        <f>MAX(Parametri!$D$8, ABS(B26-C26)/(2*SQRT(3)))</f>
        <v>13.567731325956206</v>
      </c>
      <c r="F26">
        <f>(A26-Parametri!$A$11)+Parametri!$A$2+(Parametri!$A$5/2)</f>
        <v>256.5</v>
      </c>
      <c r="G26" s="3">
        <f>(D26-Parametri!$A$8)-(A26-Parametri!$A$11)+Parametri!$A$2</f>
        <v>967.27810396229347</v>
      </c>
      <c r="H26">
        <f t="shared" si="1"/>
        <v>13.567731325956206</v>
      </c>
      <c r="I26">
        <f>Parametri!$D$8</f>
        <v>0.11547005383792516</v>
      </c>
      <c r="K26">
        <f t="shared" si="2"/>
        <v>47</v>
      </c>
    </row>
    <row r="27" spans="1:11" x14ac:dyDescent="0.3">
      <c r="A27" s="2">
        <f t="shared" si="3"/>
        <v>276</v>
      </c>
      <c r="B27">
        <v>1206</v>
      </c>
      <c r="C27">
        <v>1254</v>
      </c>
      <c r="D27">
        <f t="shared" si="0"/>
        <v>1229.7658313679071</v>
      </c>
      <c r="E27">
        <f>MAX(Parametri!$D$8, ABS(B27-C27)/(2*SQRT(3)))</f>
        <v>13.856406460551019</v>
      </c>
      <c r="F27">
        <f>(A27-Parametri!$A$11)+Parametri!$A$2+(Parametri!$A$5/2)</f>
        <v>257.5</v>
      </c>
      <c r="G27" s="3">
        <f>(D27-Parametri!$A$8)-(A27-Parametri!$A$11)+Parametri!$A$2</f>
        <v>951.76583136790714</v>
      </c>
      <c r="H27">
        <f t="shared" si="1"/>
        <v>13.856406460551019</v>
      </c>
      <c r="I27">
        <f>Parametri!$D$8</f>
        <v>0.11547005383792516</v>
      </c>
      <c r="K27">
        <f t="shared" si="2"/>
        <v>48</v>
      </c>
    </row>
    <row r="28" spans="1:11" x14ac:dyDescent="0.3">
      <c r="A28" s="2">
        <f t="shared" si="3"/>
        <v>277</v>
      </c>
      <c r="B28">
        <v>1196</v>
      </c>
      <c r="C28">
        <v>1234</v>
      </c>
      <c r="D28">
        <f t="shared" si="0"/>
        <v>1214.8514312458128</v>
      </c>
      <c r="E28">
        <f>MAX(Parametri!$D$8, ABS(B28-C28)/(2*SQRT(3)))</f>
        <v>10.96965511460289</v>
      </c>
      <c r="F28">
        <f>(A28-Parametri!$A$11)+Parametri!$A$2+(Parametri!$A$5/2)</f>
        <v>258.5</v>
      </c>
      <c r="G28" s="3">
        <f>(D28-Parametri!$A$8)-(A28-Parametri!$A$11)+Parametri!$A$2</f>
        <v>935.85143124581282</v>
      </c>
      <c r="H28">
        <f t="shared" si="1"/>
        <v>10.96965511460289</v>
      </c>
      <c r="I28">
        <f>Parametri!$D$8</f>
        <v>0.11547005383792516</v>
      </c>
      <c r="K28">
        <f t="shared" si="2"/>
        <v>38</v>
      </c>
    </row>
    <row r="29" spans="1:11" x14ac:dyDescent="0.3">
      <c r="A29" s="2">
        <f t="shared" si="3"/>
        <v>278</v>
      </c>
      <c r="B29">
        <v>1180</v>
      </c>
      <c r="C29">
        <v>1223</v>
      </c>
      <c r="D29">
        <f t="shared" si="0"/>
        <v>1201.307620886507</v>
      </c>
      <c r="E29">
        <f>MAX(Parametri!$D$8, ABS(B29-C29)/(2*SQRT(3)))</f>
        <v>12.413030787576954</v>
      </c>
      <c r="F29">
        <f>(A29-Parametri!$A$11)+Parametri!$A$2+(Parametri!$A$5/2)</f>
        <v>259.5</v>
      </c>
      <c r="G29" s="3">
        <f>(D29-Parametri!$A$8)-(A29-Parametri!$A$11)+Parametri!$A$2</f>
        <v>921.30762088650704</v>
      </c>
      <c r="H29">
        <f t="shared" si="1"/>
        <v>12.413030787576954</v>
      </c>
      <c r="I29">
        <f>Parametri!$D$8</f>
        <v>0.11547005383792516</v>
      </c>
      <c r="K29">
        <f t="shared" si="2"/>
        <v>43</v>
      </c>
    </row>
    <row r="30" spans="1:11" x14ac:dyDescent="0.3">
      <c r="A30" s="2">
        <f t="shared" si="3"/>
        <v>279</v>
      </c>
      <c r="B30">
        <v>1176</v>
      </c>
      <c r="C30">
        <v>1213</v>
      </c>
      <c r="D30">
        <f t="shared" si="0"/>
        <v>1194.3567306295049</v>
      </c>
      <c r="E30">
        <f>MAX(Parametri!$D$8, ABS(B30-C30)/(2*SQRT(3)))</f>
        <v>10.680979980008077</v>
      </c>
      <c r="F30">
        <f>(A30-Parametri!$A$11)+Parametri!$A$2+(Parametri!$A$5/2)</f>
        <v>260.5</v>
      </c>
      <c r="G30" s="3">
        <f>(D30-Parametri!$A$8)-(A30-Parametri!$A$11)+Parametri!$A$2</f>
        <v>913.35673062950491</v>
      </c>
      <c r="H30">
        <f t="shared" si="1"/>
        <v>10.680979980008077</v>
      </c>
      <c r="I30">
        <f>Parametri!$D$8</f>
        <v>0.11547005383792516</v>
      </c>
      <c r="K30">
        <f t="shared" si="2"/>
        <v>37</v>
      </c>
    </row>
    <row r="31" spans="1:11" x14ac:dyDescent="0.3">
      <c r="A31" s="2">
        <f t="shared" si="3"/>
        <v>280</v>
      </c>
      <c r="B31">
        <v>1164</v>
      </c>
      <c r="C31">
        <v>1205</v>
      </c>
      <c r="D31">
        <f t="shared" si="0"/>
        <v>1184.3225911887353</v>
      </c>
      <c r="E31">
        <f>MAX(Parametri!$D$8, ABS(B31-C31)/(2*SQRT(3)))</f>
        <v>11.835680518387329</v>
      </c>
      <c r="F31">
        <f>(A31-Parametri!$A$11)+Parametri!$A$2+(Parametri!$A$5/2)</f>
        <v>261.5</v>
      </c>
      <c r="G31" s="3">
        <f>(D31-Parametri!$A$8)-(A31-Parametri!$A$11)+Parametri!$A$2</f>
        <v>902.32259118873526</v>
      </c>
      <c r="H31">
        <f t="shared" si="1"/>
        <v>11.835680518387329</v>
      </c>
      <c r="I31">
        <f>Parametri!$D$8</f>
        <v>0.11547005383792516</v>
      </c>
      <c r="K31">
        <f t="shared" si="2"/>
        <v>41</v>
      </c>
    </row>
    <row r="32" spans="1:11" x14ac:dyDescent="0.3">
      <c r="A32" s="2">
        <f t="shared" si="3"/>
        <v>281</v>
      </c>
      <c r="B32">
        <v>1153</v>
      </c>
      <c r="C32">
        <v>1189</v>
      </c>
      <c r="D32">
        <f t="shared" si="0"/>
        <v>1170.8616485306879</v>
      </c>
      <c r="E32">
        <f>MAX(Parametri!$D$8, ABS(B32-C32)/(2*SQRT(3)))</f>
        <v>10.392304845413264</v>
      </c>
      <c r="F32">
        <f>(A32-Parametri!$A$11)+Parametri!$A$2+(Parametri!$A$5/2)</f>
        <v>262.5</v>
      </c>
      <c r="G32" s="3">
        <f>(D32-Parametri!$A$8)-(A32-Parametri!$A$11)+Parametri!$A$2</f>
        <v>887.86164853068794</v>
      </c>
      <c r="H32">
        <f t="shared" si="1"/>
        <v>10.392304845413264</v>
      </c>
      <c r="I32">
        <f>Parametri!$D$8</f>
        <v>0.11547005383792516</v>
      </c>
      <c r="K32">
        <f t="shared" si="2"/>
        <v>36</v>
      </c>
    </row>
    <row r="33" spans="1:12" x14ac:dyDescent="0.3">
      <c r="A33" s="2">
        <f t="shared" si="3"/>
        <v>282</v>
      </c>
      <c r="B33">
        <v>1149</v>
      </c>
      <c r="C33">
        <v>1182</v>
      </c>
      <c r="D33">
        <f t="shared" si="0"/>
        <v>1165.3831987805556</v>
      </c>
      <c r="E33">
        <f>MAX(Parametri!$D$8, ABS(B33-C33)/(2*SQRT(3)))</f>
        <v>9.5262794416288248</v>
      </c>
      <c r="F33">
        <f>(A33-Parametri!$A$11)+Parametri!$A$2+(Parametri!$A$5/2)</f>
        <v>263.5</v>
      </c>
      <c r="G33" s="3">
        <f>(D33-Parametri!$A$8)-(A33-Parametri!$A$11)+Parametri!$A$2</f>
        <v>881.38319878055563</v>
      </c>
      <c r="H33">
        <f t="shared" si="1"/>
        <v>9.5262794416288248</v>
      </c>
      <c r="I33">
        <f>Parametri!$D$8</f>
        <v>0.11547005383792516</v>
      </c>
      <c r="K33">
        <f t="shared" si="2"/>
        <v>33</v>
      </c>
    </row>
    <row r="34" spans="1:12" x14ac:dyDescent="0.3">
      <c r="A34" s="2">
        <f t="shared" si="3"/>
        <v>283</v>
      </c>
      <c r="B34">
        <v>1136</v>
      </c>
      <c r="C34">
        <v>1169</v>
      </c>
      <c r="D34">
        <f t="shared" si="0"/>
        <v>1152.3818811487797</v>
      </c>
      <c r="E34">
        <f>MAX(Parametri!$D$8, ABS(B34-C34)/(2*SQRT(3)))</f>
        <v>9.5262794416288248</v>
      </c>
      <c r="F34">
        <f>(A34-Parametri!$A$11)+Parametri!$A$2+(Parametri!$A$5/2)</f>
        <v>264.5</v>
      </c>
      <c r="G34" s="3">
        <f>(D34-Parametri!$A$8)-(A34-Parametri!$A$11)+Parametri!$A$2</f>
        <v>867.38188114877971</v>
      </c>
      <c r="H34">
        <f t="shared" si="1"/>
        <v>9.5262794416288248</v>
      </c>
      <c r="I34">
        <f>Parametri!$D$8</f>
        <v>0.11547005383792516</v>
      </c>
      <c r="K34">
        <f t="shared" si="2"/>
        <v>33</v>
      </c>
    </row>
    <row r="35" spans="1:12" x14ac:dyDescent="0.3">
      <c r="A35" s="2">
        <f t="shared" si="3"/>
        <v>284</v>
      </c>
      <c r="B35">
        <v>1122</v>
      </c>
      <c r="C35">
        <v>1163</v>
      </c>
      <c r="D35">
        <f t="shared" si="0"/>
        <v>1142.3160683453596</v>
      </c>
      <c r="E35">
        <f>MAX(Parametri!$D$8, ABS(B35-C35)/(2*SQRT(3)))</f>
        <v>11.835680518387329</v>
      </c>
      <c r="F35">
        <f>(A35-Parametri!$A$11)+Parametri!$A$2+(Parametri!$A$5/2)</f>
        <v>265.5</v>
      </c>
      <c r="G35" s="3">
        <f>(D35-Parametri!$A$8)-(A35-Parametri!$A$11)+Parametri!$A$2</f>
        <v>856.31606834535955</v>
      </c>
      <c r="H35">
        <f t="shared" si="1"/>
        <v>11.835680518387329</v>
      </c>
      <c r="I35">
        <f>Parametri!$D$8</f>
        <v>0.11547005383792516</v>
      </c>
      <c r="K35">
        <f t="shared" si="2"/>
        <v>41</v>
      </c>
    </row>
    <row r="36" spans="1:12" x14ac:dyDescent="0.3">
      <c r="A36" s="2">
        <f>A35+2</f>
        <v>286</v>
      </c>
      <c r="B36">
        <v>1110</v>
      </c>
      <c r="C36">
        <v>1138</v>
      </c>
      <c r="D36">
        <f t="shared" si="0"/>
        <v>1123.9128080060302</v>
      </c>
      <c r="E36">
        <f>MAX(Parametri!$D$8, ABS(B36-C36)/(2*SQRT(3)))</f>
        <v>8.0829037686547611</v>
      </c>
      <c r="F36">
        <f>(A36-Parametri!$A$11)+Parametri!$A$2+(Parametri!$A$5/2)</f>
        <v>267.5</v>
      </c>
      <c r="G36" s="3">
        <f>(D36-Parametri!$A$8)-(A36-Parametri!$A$11)+Parametri!$A$2</f>
        <v>835.91280800603022</v>
      </c>
      <c r="H36">
        <f t="shared" si="1"/>
        <v>8.0829037686547611</v>
      </c>
      <c r="I36">
        <f>Parametri!$D$8</f>
        <v>0.11547005383792516</v>
      </c>
      <c r="K36">
        <f t="shared" si="2"/>
        <v>28</v>
      </c>
    </row>
    <row r="37" spans="1:12" x14ac:dyDescent="0.3">
      <c r="A37" s="2">
        <f t="shared" ref="A37:A41" si="4">A36+2</f>
        <v>288</v>
      </c>
      <c r="B37">
        <v>1094</v>
      </c>
      <c r="C37">
        <v>1121</v>
      </c>
      <c r="D37">
        <f t="shared" si="0"/>
        <v>1107.4177170336404</v>
      </c>
      <c r="E37">
        <f>MAX(Parametri!$D$8, ABS(B37-C37)/(2*SQRT(3)))</f>
        <v>7.794228634059948</v>
      </c>
      <c r="F37">
        <f>(A37-Parametri!$A$11)+Parametri!$A$2+(Parametri!$A$5/2)</f>
        <v>269.5</v>
      </c>
      <c r="G37" s="3">
        <f>(D37-Parametri!$A$8)-(A37-Parametri!$A$11)+Parametri!$A$2</f>
        <v>817.41771703364043</v>
      </c>
      <c r="H37">
        <f t="shared" si="1"/>
        <v>7.794228634059948</v>
      </c>
      <c r="I37">
        <f>Parametri!$D$8</f>
        <v>0.11547005383792516</v>
      </c>
      <c r="K37">
        <f t="shared" si="2"/>
        <v>27</v>
      </c>
    </row>
    <row r="38" spans="1:12" x14ac:dyDescent="0.3">
      <c r="A38" s="2">
        <f t="shared" si="4"/>
        <v>290</v>
      </c>
      <c r="B38">
        <v>1076</v>
      </c>
      <c r="C38">
        <v>1107</v>
      </c>
      <c r="D38">
        <f t="shared" si="0"/>
        <v>1091.3899394808439</v>
      </c>
      <c r="E38">
        <f>MAX(Parametri!$D$8, ABS(B38-C38)/(2*SQRT(3)))</f>
        <v>8.9489291724392004</v>
      </c>
      <c r="F38">
        <f>(A38-Parametri!$A$11)+Parametri!$A$2+(Parametri!$A$5/2)</f>
        <v>271.5</v>
      </c>
      <c r="G38" s="3">
        <f>(D38-Parametri!$A$8)-(A38-Parametri!$A$11)+Parametri!$A$2</f>
        <v>799.38993948084385</v>
      </c>
      <c r="H38">
        <f t="shared" si="1"/>
        <v>8.9489291724392004</v>
      </c>
      <c r="I38">
        <f>Parametri!$D$8</f>
        <v>0.11547005383792516</v>
      </c>
      <c r="K38">
        <f t="shared" si="2"/>
        <v>31</v>
      </c>
    </row>
    <row r="39" spans="1:12" x14ac:dyDescent="0.3">
      <c r="A39" s="2">
        <f t="shared" si="4"/>
        <v>292</v>
      </c>
      <c r="B39">
        <v>1064</v>
      </c>
      <c r="C39">
        <v>1092</v>
      </c>
      <c r="D39">
        <f t="shared" si="0"/>
        <v>1077.9090870755288</v>
      </c>
      <c r="E39">
        <f>MAX(Parametri!$D$8, ABS(B39-C39)/(2*SQRT(3)))</f>
        <v>8.0829037686547611</v>
      </c>
      <c r="F39">
        <f>(A39-Parametri!$A$11)+Parametri!$A$2+(Parametri!$A$5/2)</f>
        <v>273.5</v>
      </c>
      <c r="G39" s="3">
        <f>(D39-Parametri!$A$8)-(A39-Parametri!$A$11)+Parametri!$A$2</f>
        <v>783.90908707552876</v>
      </c>
      <c r="H39">
        <f t="shared" si="1"/>
        <v>8.0829037686547611</v>
      </c>
      <c r="I39">
        <f>Parametri!$D$8</f>
        <v>0.11547005383792516</v>
      </c>
      <c r="K39">
        <f t="shared" si="2"/>
        <v>28</v>
      </c>
    </row>
    <row r="40" spans="1:12" x14ac:dyDescent="0.3">
      <c r="A40" s="2">
        <f t="shared" si="4"/>
        <v>294</v>
      </c>
      <c r="B40">
        <v>1048</v>
      </c>
      <c r="C40">
        <v>1079</v>
      </c>
      <c r="D40">
        <f t="shared" si="0"/>
        <v>1063.3870414858363</v>
      </c>
      <c r="E40">
        <f>MAX(Parametri!$D$8, ABS(B40-C40)/(2*SQRT(3)))</f>
        <v>8.9489291724392004</v>
      </c>
      <c r="F40">
        <f>(A40-Parametri!$A$11)+Parametri!$A$2+(Parametri!$A$5/2)</f>
        <v>275.5</v>
      </c>
      <c r="G40" s="3">
        <f>(D40-Parametri!$A$8)-(A40-Parametri!$A$11)+Parametri!$A$2</f>
        <v>767.38704148583633</v>
      </c>
      <c r="H40">
        <f t="shared" si="1"/>
        <v>8.9489291724392004</v>
      </c>
      <c r="I40">
        <f>Parametri!$D$8</f>
        <v>0.11547005383792516</v>
      </c>
      <c r="K40">
        <f t="shared" si="2"/>
        <v>31</v>
      </c>
    </row>
    <row r="41" spans="1:12" x14ac:dyDescent="0.3">
      <c r="A41" s="2">
        <f t="shared" si="4"/>
        <v>296</v>
      </c>
      <c r="B41">
        <v>1041</v>
      </c>
      <c r="C41">
        <v>1064</v>
      </c>
      <c r="D41">
        <f t="shared" si="0"/>
        <v>1052.4371715214168</v>
      </c>
      <c r="E41">
        <f>MAX(Parametri!$D$8, ABS(B41-C41)/(2*SQRT(3)))</f>
        <v>6.6395280956806966</v>
      </c>
      <c r="F41">
        <f>(A41-Parametri!$A$11)+Parametri!$A$2+(Parametri!$A$5/2)</f>
        <v>277.5</v>
      </c>
      <c r="G41" s="3">
        <f>(D41-Parametri!$A$8)-(A41-Parametri!$A$11)+Parametri!$A$2</f>
        <v>754.43717152141676</v>
      </c>
      <c r="H41">
        <f t="shared" si="1"/>
        <v>6.6395280956806966</v>
      </c>
      <c r="I41">
        <f>Parametri!$D$8</f>
        <v>0.11547005383792516</v>
      </c>
      <c r="K41">
        <f t="shared" si="2"/>
        <v>23</v>
      </c>
    </row>
    <row r="42" spans="1:12" s="6" customFormat="1" x14ac:dyDescent="0.3">
      <c r="A42" s="5">
        <f>A41+3</f>
        <v>299</v>
      </c>
      <c r="B42" s="6">
        <v>1015</v>
      </c>
      <c r="C42" s="6">
        <v>1047</v>
      </c>
      <c r="D42" s="6">
        <f t="shared" si="0"/>
        <v>1030.875841214644</v>
      </c>
      <c r="E42">
        <f>MAX(Parametri!$D$8, ABS(B42-C42)/(2*SQRT(3)))</f>
        <v>9.2376043070340135</v>
      </c>
      <c r="F42" s="6">
        <f>(A42-Parametri!$A$11)+Parametri!$A$2+(Parametri!$A$5/2)</f>
        <v>280.5</v>
      </c>
      <c r="G42" s="7">
        <f>(D42-Parametri!$A$8)-(A42-Parametri!$A$11)+Parametri!$A$2</f>
        <v>729.87584121464397</v>
      </c>
      <c r="H42" s="6">
        <f t="shared" si="1"/>
        <v>9.2376043070340135</v>
      </c>
      <c r="I42" s="6">
        <f>Parametri!$D$8</f>
        <v>0.11547005383792516</v>
      </c>
      <c r="K42" s="6">
        <f t="shared" si="2"/>
        <v>32</v>
      </c>
    </row>
    <row r="43" spans="1:12" x14ac:dyDescent="0.3">
      <c r="A43" s="2">
        <f>A42+1</f>
        <v>300</v>
      </c>
      <c r="B43">
        <v>1011</v>
      </c>
      <c r="C43">
        <v>1044</v>
      </c>
      <c r="D43">
        <f t="shared" si="0"/>
        <v>1027.3675097062394</v>
      </c>
      <c r="E43">
        <f>MAX(Parametri!$D$8, ABS(B43-C43)/(2*SQRT(3)))</f>
        <v>9.5262794416288248</v>
      </c>
      <c r="F43">
        <f>(A43-Parametri!$A$11)+Parametri!$A$2+(Parametri!$A$5/2)</f>
        <v>281.5</v>
      </c>
      <c r="G43" s="3">
        <f>(D43-Parametri!$A$8)-(A43-Parametri!$A$11)+Parametri!$A$2</f>
        <v>725.36750970623939</v>
      </c>
      <c r="H43">
        <f t="shared" si="1"/>
        <v>9.5262794416288248</v>
      </c>
      <c r="I43">
        <f>Parametri!$D$8</f>
        <v>0.11547005383792516</v>
      </c>
      <c r="K43">
        <f t="shared" si="2"/>
        <v>33</v>
      </c>
    </row>
    <row r="44" spans="1:12" x14ac:dyDescent="0.3">
      <c r="A44" s="2">
        <f t="shared" ref="A44:A57" si="5">A43+1</f>
        <v>301</v>
      </c>
      <c r="B44">
        <v>1005</v>
      </c>
      <c r="C44">
        <v>1037</v>
      </c>
      <c r="D44">
        <f t="shared" si="0"/>
        <v>1020.8746250152367</v>
      </c>
      <c r="E44">
        <f>MAX(Parametri!$D$8, ABS(B44-C44)/(2*SQRT(3)))</f>
        <v>9.2376043070340135</v>
      </c>
      <c r="F44">
        <f>(A44-Parametri!$A$11)+Parametri!$A$2+(Parametri!$A$5/2)</f>
        <v>282.5</v>
      </c>
      <c r="G44" s="3">
        <f>(D44-Parametri!$A$8)-(A44-Parametri!$A$11)+Parametri!$A$2</f>
        <v>717.87462501523669</v>
      </c>
      <c r="H44">
        <f t="shared" si="1"/>
        <v>9.2376043070340135</v>
      </c>
      <c r="I44">
        <f>Parametri!$D$8</f>
        <v>0.11547005383792516</v>
      </c>
      <c r="K44">
        <f t="shared" si="2"/>
        <v>32</v>
      </c>
    </row>
    <row r="45" spans="1:12" x14ac:dyDescent="0.3">
      <c r="A45" s="2">
        <f t="shared" si="5"/>
        <v>302</v>
      </c>
      <c r="B45">
        <v>1001</v>
      </c>
      <c r="C45">
        <v>1020</v>
      </c>
      <c r="D45">
        <f t="shared" si="0"/>
        <v>1010.4553429023966</v>
      </c>
      <c r="E45">
        <f>MAX(Parametri!$D$8, ABS(B45-C45)/(2*SQRT(3)))</f>
        <v>5.4848275573014451</v>
      </c>
      <c r="F45">
        <f>(A45-Parametri!$A$11)+Parametri!$A$2+(Parametri!$A$5/2)</f>
        <v>283.5</v>
      </c>
      <c r="G45" s="3">
        <f>(D45-Parametri!$A$8)-(A45-Parametri!$A$11)+Parametri!$A$2</f>
        <v>706.45534290239664</v>
      </c>
      <c r="H45">
        <f t="shared" si="1"/>
        <v>5.4848275573014451</v>
      </c>
      <c r="I45">
        <f>Parametri!$D$8</f>
        <v>0.11547005383792516</v>
      </c>
      <c r="K45">
        <f t="shared" si="2"/>
        <v>19</v>
      </c>
    </row>
    <row r="46" spans="1:12" s="9" customFormat="1" x14ac:dyDescent="0.3">
      <c r="A46" s="8">
        <f t="shared" si="5"/>
        <v>303</v>
      </c>
      <c r="B46" s="9">
        <v>992</v>
      </c>
      <c r="C46" s="9">
        <v>1015</v>
      </c>
      <c r="D46" s="9">
        <f t="shared" si="0"/>
        <v>1003.43410346669</v>
      </c>
      <c r="E46">
        <f>MAX(Parametri!$D$8, ABS(B46-C46)/(2*SQRT(3)))</f>
        <v>6.6395280956806966</v>
      </c>
      <c r="F46" s="9">
        <f>(A46-Parametri!$A$11)+Parametri!$A$2+(Parametri!$A$5/2)</f>
        <v>284.5</v>
      </c>
      <c r="G46" s="10">
        <f>(D46-Parametri!$A$8)-(A46-Parametri!$A$11)+Parametri!$A$2</f>
        <v>698.43410346668998</v>
      </c>
      <c r="H46" s="9">
        <f t="shared" si="1"/>
        <v>6.6395280956806966</v>
      </c>
      <c r="I46" s="9">
        <f>Parametri!$D$8</f>
        <v>0.11547005383792516</v>
      </c>
      <c r="K46" s="9">
        <f t="shared" si="2"/>
        <v>23</v>
      </c>
      <c r="L46" s="9" t="s">
        <v>25</v>
      </c>
    </row>
    <row r="47" spans="1:12" x14ac:dyDescent="0.3">
      <c r="A47" s="2">
        <f>A46+1</f>
        <v>304</v>
      </c>
      <c r="B47">
        <v>992</v>
      </c>
      <c r="C47">
        <v>1015</v>
      </c>
      <c r="D47">
        <f t="shared" si="0"/>
        <v>1003.43410346669</v>
      </c>
      <c r="E47">
        <f>MAX(Parametri!$D$8, ABS(B47-C47)/(2*SQRT(3)))</f>
        <v>6.6395280956806966</v>
      </c>
      <c r="F47">
        <f>(A47-Parametri!$A$11)+Parametri!$A$2+(Parametri!$A$5/2)</f>
        <v>285.5</v>
      </c>
      <c r="G47" s="3">
        <f>(D47-Parametri!$A$8)-(A47-Parametri!$A$11)+Parametri!$A$2</f>
        <v>697.43410346668998</v>
      </c>
      <c r="H47">
        <f t="shared" si="1"/>
        <v>6.6395280956806966</v>
      </c>
      <c r="I47">
        <f>Parametri!$D$8</f>
        <v>0.11547005383792516</v>
      </c>
      <c r="K47">
        <f t="shared" si="2"/>
        <v>23</v>
      </c>
    </row>
    <row r="48" spans="1:12" x14ac:dyDescent="0.3">
      <c r="A48" s="2">
        <f t="shared" si="5"/>
        <v>305</v>
      </c>
      <c r="B48">
        <v>986</v>
      </c>
      <c r="C48">
        <v>1006</v>
      </c>
      <c r="D48">
        <f t="shared" si="0"/>
        <v>995.94979793160257</v>
      </c>
      <c r="E48">
        <f>MAX(Parametri!$D$8, ABS(B48-C48)/(2*SQRT(3)))</f>
        <v>5.7735026918962582</v>
      </c>
      <c r="F48">
        <f>(A48-Parametri!$A$11)+Parametri!$A$2+(Parametri!$A$5/2)</f>
        <v>286.5</v>
      </c>
      <c r="G48" s="3">
        <f>(D48-Parametri!$A$8)-(A48-Parametri!$A$11)+Parametri!$A$2</f>
        <v>688.94979793160257</v>
      </c>
      <c r="H48">
        <f t="shared" si="1"/>
        <v>5.7735026918962582</v>
      </c>
      <c r="I48">
        <f>Parametri!$D$8</f>
        <v>0.11547005383792516</v>
      </c>
      <c r="K48">
        <f t="shared" si="2"/>
        <v>20</v>
      </c>
    </row>
    <row r="49" spans="1:12" x14ac:dyDescent="0.3">
      <c r="A49" s="2">
        <f t="shared" si="5"/>
        <v>306</v>
      </c>
      <c r="B49">
        <v>985</v>
      </c>
      <c r="C49">
        <v>1000</v>
      </c>
      <c r="D49">
        <f t="shared" si="0"/>
        <v>992.47166206396048</v>
      </c>
      <c r="E49">
        <f>MAX(Parametri!$D$8, ABS(B49-C49)/(2*SQRT(3)))</f>
        <v>4.3301270189221936</v>
      </c>
      <c r="F49">
        <f>(A49-Parametri!$A$11)+Parametri!$A$2+(Parametri!$A$5/2)</f>
        <v>287.5</v>
      </c>
      <c r="G49" s="3">
        <f>(D49-Parametri!$A$8)-(A49-Parametri!$A$11)+Parametri!$A$2</f>
        <v>684.47166206396048</v>
      </c>
      <c r="H49">
        <f t="shared" si="1"/>
        <v>4.3301270189221936</v>
      </c>
      <c r="I49">
        <f>Parametri!$D$8</f>
        <v>0.11547005383792516</v>
      </c>
      <c r="K49">
        <f t="shared" si="2"/>
        <v>15</v>
      </c>
    </row>
    <row r="50" spans="1:12" x14ac:dyDescent="0.3">
      <c r="A50" s="2">
        <f t="shared" si="5"/>
        <v>307</v>
      </c>
      <c r="B50">
        <v>981</v>
      </c>
      <c r="C50">
        <v>999</v>
      </c>
      <c r="D50">
        <f t="shared" si="0"/>
        <v>989.95909006382692</v>
      </c>
      <c r="E50">
        <f>MAX(Parametri!$D$8, ABS(B50-C50)/(2*SQRT(3)))</f>
        <v>5.196152422706632</v>
      </c>
      <c r="F50">
        <f>(A50-Parametri!$A$11)+Parametri!$A$2+(Parametri!$A$5/2)</f>
        <v>288.5</v>
      </c>
      <c r="G50" s="3">
        <f>(D50-Parametri!$A$8)-(A50-Parametri!$A$11)+Parametri!$A$2</f>
        <v>680.95909006382692</v>
      </c>
      <c r="H50">
        <f t="shared" si="1"/>
        <v>5.196152422706632</v>
      </c>
      <c r="I50">
        <f>Parametri!$D$8</f>
        <v>0.11547005383792516</v>
      </c>
      <c r="K50">
        <f t="shared" si="2"/>
        <v>18</v>
      </c>
    </row>
    <row r="51" spans="1:12" x14ac:dyDescent="0.3">
      <c r="A51" s="2">
        <f t="shared" si="5"/>
        <v>308</v>
      </c>
      <c r="B51">
        <v>975</v>
      </c>
      <c r="C51">
        <v>992</v>
      </c>
      <c r="D51">
        <f t="shared" si="0"/>
        <v>983.46326825153972</v>
      </c>
      <c r="E51">
        <f>MAX(Parametri!$D$8, ABS(B51-C51)/(2*SQRT(3)))</f>
        <v>4.9074772881118189</v>
      </c>
      <c r="F51">
        <f>(A51-Parametri!$A$11)+Parametri!$A$2+(Parametri!$A$5/2)</f>
        <v>289.5</v>
      </c>
      <c r="G51" s="3">
        <f>(D51-Parametri!$A$8)-(A51-Parametri!$A$11)+Parametri!$A$2</f>
        <v>673.46326825153972</v>
      </c>
      <c r="H51">
        <f t="shared" si="1"/>
        <v>4.9074772881118189</v>
      </c>
      <c r="I51">
        <f>Parametri!$D$8</f>
        <v>0.11547005383792516</v>
      </c>
      <c r="K51">
        <f t="shared" si="2"/>
        <v>17</v>
      </c>
    </row>
    <row r="52" spans="1:12" x14ac:dyDescent="0.3">
      <c r="A52" s="2">
        <f t="shared" si="5"/>
        <v>309</v>
      </c>
      <c r="B52">
        <v>971</v>
      </c>
      <c r="C52">
        <v>988</v>
      </c>
      <c r="D52">
        <f t="shared" si="0"/>
        <v>979.46311824386737</v>
      </c>
      <c r="E52">
        <f>MAX(Parametri!$D$8, ABS(B52-C52)/(2*SQRT(3)))</f>
        <v>4.9074772881118189</v>
      </c>
      <c r="F52">
        <f>(A52-Parametri!$A$11)+Parametri!$A$2+(Parametri!$A$5/2)</f>
        <v>290.5</v>
      </c>
      <c r="G52" s="3">
        <f>(D52-Parametri!$A$8)-(A52-Parametri!$A$11)+Parametri!$A$2</f>
        <v>668.46311824386737</v>
      </c>
      <c r="H52">
        <f t="shared" si="1"/>
        <v>4.9074772881118189</v>
      </c>
      <c r="I52">
        <f>Parametri!$D$8</f>
        <v>0.11547005383792516</v>
      </c>
      <c r="K52">
        <f t="shared" si="2"/>
        <v>17</v>
      </c>
    </row>
    <row r="53" spans="1:12" x14ac:dyDescent="0.3">
      <c r="A53" s="2">
        <f t="shared" si="5"/>
        <v>310</v>
      </c>
      <c r="B53">
        <v>968</v>
      </c>
      <c r="C53">
        <v>987</v>
      </c>
      <c r="D53">
        <f t="shared" si="0"/>
        <v>977.45383522701468</v>
      </c>
      <c r="E53">
        <f>MAX(Parametri!$D$8, ABS(B53-C53)/(2*SQRT(3)))</f>
        <v>5.4848275573014451</v>
      </c>
      <c r="F53">
        <f>(A53-Parametri!$A$11)+Parametri!$A$2+(Parametri!$A$5/2)</f>
        <v>291.5</v>
      </c>
      <c r="G53" s="3">
        <f>(D53-Parametri!$A$8)-(A53-Parametri!$A$11)+Parametri!$A$2</f>
        <v>665.45383522701468</v>
      </c>
      <c r="H53">
        <f t="shared" si="1"/>
        <v>5.4848275573014451</v>
      </c>
      <c r="I53">
        <f>Parametri!$D$8</f>
        <v>0.11547005383792516</v>
      </c>
      <c r="K53">
        <f t="shared" si="2"/>
        <v>19</v>
      </c>
    </row>
    <row r="54" spans="1:12" x14ac:dyDescent="0.3">
      <c r="A54" s="2">
        <f t="shared" si="5"/>
        <v>311</v>
      </c>
      <c r="B54">
        <v>965</v>
      </c>
      <c r="C54">
        <v>974</v>
      </c>
      <c r="D54">
        <f t="shared" si="0"/>
        <v>969.48955641615851</v>
      </c>
      <c r="E54">
        <f>MAX(Parametri!$D$8, ABS(B54-C54)/(2*SQRT(3)))</f>
        <v>2.598076211353316</v>
      </c>
      <c r="F54">
        <f>(A54-Parametri!$A$11)+Parametri!$A$2+(Parametri!$A$5/2)</f>
        <v>292.5</v>
      </c>
      <c r="G54" s="3">
        <f>(D54-Parametri!$A$8)-(A54-Parametri!$A$11)+Parametri!$A$2</f>
        <v>656.48955641615851</v>
      </c>
      <c r="H54">
        <f t="shared" si="1"/>
        <v>2.598076211353316</v>
      </c>
      <c r="I54">
        <f>Parametri!$D$8</f>
        <v>0.11547005383792516</v>
      </c>
      <c r="K54">
        <f t="shared" si="2"/>
        <v>9</v>
      </c>
    </row>
    <row r="55" spans="1:12" x14ac:dyDescent="0.3">
      <c r="A55" s="2">
        <f t="shared" si="5"/>
        <v>312</v>
      </c>
      <c r="B55">
        <v>960</v>
      </c>
      <c r="C55">
        <v>976</v>
      </c>
      <c r="D55">
        <f t="shared" si="0"/>
        <v>967.96694158426715</v>
      </c>
      <c r="E55">
        <f>MAX(Parametri!$D$8, ABS(B55-C55)/(2*SQRT(3)))</f>
        <v>4.6188021535170067</v>
      </c>
      <c r="F55">
        <f>(A55-Parametri!$A$11)+Parametri!$A$2+(Parametri!$A$5/2)</f>
        <v>293.5</v>
      </c>
      <c r="G55" s="3">
        <f>(D55-Parametri!$A$8)-(A55-Parametri!$A$11)+Parametri!$A$2</f>
        <v>653.96694158426715</v>
      </c>
      <c r="H55">
        <f t="shared" si="1"/>
        <v>4.6188021535170067</v>
      </c>
      <c r="I55">
        <f>Parametri!$D$8</f>
        <v>0.11547005383792516</v>
      </c>
      <c r="K55">
        <f t="shared" si="2"/>
        <v>16</v>
      </c>
    </row>
    <row r="56" spans="1:12" x14ac:dyDescent="0.3">
      <c r="A56" s="2">
        <f t="shared" si="5"/>
        <v>313</v>
      </c>
      <c r="B56">
        <v>957</v>
      </c>
      <c r="C56">
        <v>969</v>
      </c>
      <c r="D56">
        <f t="shared" si="0"/>
        <v>962.98130822981193</v>
      </c>
      <c r="E56">
        <f>MAX(Parametri!$D$8, ABS(B56-C56)/(2*SQRT(3)))</f>
        <v>3.4641016151377548</v>
      </c>
      <c r="F56">
        <f>(A56-Parametri!$A$11)+Parametri!$A$2+(Parametri!$A$5/2)</f>
        <v>294.5</v>
      </c>
      <c r="G56" s="3">
        <f>(D56-Parametri!$A$8)-(A56-Parametri!$A$11)+Parametri!$A$2</f>
        <v>647.98130822981193</v>
      </c>
      <c r="H56">
        <f t="shared" si="1"/>
        <v>3.4641016151377548</v>
      </c>
      <c r="I56">
        <f>Parametri!$D$8</f>
        <v>0.11547005383792516</v>
      </c>
      <c r="K56">
        <f t="shared" si="2"/>
        <v>12</v>
      </c>
    </row>
    <row r="57" spans="1:12" x14ac:dyDescent="0.3">
      <c r="A57" s="2">
        <f t="shared" si="5"/>
        <v>314</v>
      </c>
      <c r="B57">
        <v>955</v>
      </c>
      <c r="C57">
        <v>967</v>
      </c>
      <c r="D57">
        <f t="shared" si="0"/>
        <v>960.98126932838807</v>
      </c>
      <c r="E57">
        <f>MAX(Parametri!$D$8, ABS(B57-C57)/(2*SQRT(3)))</f>
        <v>3.4641016151377548</v>
      </c>
      <c r="F57">
        <f>(A57-Parametri!$A$11)+Parametri!$A$2+(Parametri!$A$5/2)</f>
        <v>295.5</v>
      </c>
      <c r="G57" s="3">
        <f>(D57-Parametri!$A$8)-(A57-Parametri!$A$11)+Parametri!$A$2</f>
        <v>644.98126932838807</v>
      </c>
      <c r="H57">
        <f t="shared" si="1"/>
        <v>3.4641016151377548</v>
      </c>
      <c r="I57">
        <f>Parametri!$D$8</f>
        <v>0.11547005383792516</v>
      </c>
      <c r="K57">
        <f t="shared" si="2"/>
        <v>12</v>
      </c>
    </row>
    <row r="58" spans="1:12" x14ac:dyDescent="0.3">
      <c r="A58" s="2">
        <f>A57+2</f>
        <v>316</v>
      </c>
      <c r="B58">
        <v>945</v>
      </c>
      <c r="C58">
        <v>961</v>
      </c>
      <c r="D58">
        <f t="shared" si="0"/>
        <v>952.9664212342426</v>
      </c>
      <c r="E58">
        <f>MAX(Parametri!$D$8, ABS(B58-C58)/(2*SQRT(3)))</f>
        <v>4.6188021535170067</v>
      </c>
      <c r="F58">
        <f>(A58-Parametri!$A$11)+Parametri!$A$2+(Parametri!$A$5/2)</f>
        <v>297.5</v>
      </c>
      <c r="G58" s="3">
        <f>(D58-Parametri!$A$8)-(A58-Parametri!$A$11)+Parametri!$A$2</f>
        <v>634.9664212342426</v>
      </c>
      <c r="H58">
        <f t="shared" si="1"/>
        <v>4.6188021535170067</v>
      </c>
      <c r="I58">
        <f>Parametri!$D$8</f>
        <v>0.11547005383792516</v>
      </c>
      <c r="K58">
        <f t="shared" si="2"/>
        <v>16</v>
      </c>
    </row>
    <row r="59" spans="1:12" x14ac:dyDescent="0.3">
      <c r="A59" s="2">
        <f t="shared" ref="A59:A60" si="6">A58+2</f>
        <v>318</v>
      </c>
      <c r="B59">
        <v>940</v>
      </c>
      <c r="C59">
        <v>953</v>
      </c>
      <c r="D59">
        <f t="shared" si="0"/>
        <v>946.47768066658602</v>
      </c>
      <c r="E59">
        <f>MAX(Parametri!$D$8, ABS(B59-C59)/(2*SQRT(3)))</f>
        <v>3.7527767497325675</v>
      </c>
      <c r="F59">
        <f>(A59-Parametri!$A$11)+Parametri!$A$2+(Parametri!$A$5/2)</f>
        <v>299.5</v>
      </c>
      <c r="G59" s="3">
        <f>(D59-Parametri!$A$8)-(A59-Parametri!$A$11)+Parametri!$A$2</f>
        <v>626.47768066658602</v>
      </c>
      <c r="H59">
        <f t="shared" si="1"/>
        <v>3.7527767497325675</v>
      </c>
      <c r="I59">
        <f>Parametri!$D$8</f>
        <v>0.11547005383792516</v>
      </c>
      <c r="K59">
        <f t="shared" si="2"/>
        <v>13</v>
      </c>
    </row>
    <row r="60" spans="1:12" x14ac:dyDescent="0.3">
      <c r="A60" s="2">
        <f t="shared" si="6"/>
        <v>320</v>
      </c>
      <c r="B60">
        <v>929</v>
      </c>
      <c r="C60">
        <v>945</v>
      </c>
      <c r="D60">
        <f t="shared" si="0"/>
        <v>936.96584783011167</v>
      </c>
      <c r="E60">
        <f>MAX(Parametri!$D$8, ABS(B60-C60)/(2*SQRT(3)))</f>
        <v>4.6188021535170067</v>
      </c>
      <c r="F60">
        <f>(A60-Parametri!$A$11)+Parametri!$A$2+(Parametri!$A$5/2)</f>
        <v>301.5</v>
      </c>
      <c r="G60" s="3">
        <f>(D60-Parametri!$A$8)-(A60-Parametri!$A$11)+Parametri!$A$2</f>
        <v>614.96584783011167</v>
      </c>
      <c r="H60">
        <f t="shared" si="1"/>
        <v>4.6188021535170067</v>
      </c>
      <c r="I60">
        <f>Parametri!$D$8</f>
        <v>0.11547005383792516</v>
      </c>
      <c r="K60">
        <f t="shared" si="2"/>
        <v>16</v>
      </c>
    </row>
    <row r="61" spans="1:12" x14ac:dyDescent="0.3">
      <c r="A61" s="2">
        <f>A60+5</f>
        <v>325</v>
      </c>
      <c r="B61">
        <v>916</v>
      </c>
      <c r="C61">
        <v>930</v>
      </c>
      <c r="D61">
        <f t="shared" si="0"/>
        <v>922.97345573965447</v>
      </c>
      <c r="E61">
        <f>MAX(Parametri!$D$8, ABS(B61-C61)/(2*SQRT(3)))</f>
        <v>4.0414518843273806</v>
      </c>
      <c r="F61">
        <f>(A61-Parametri!$A$11)+Parametri!$A$2+(Parametri!$A$5/2)</f>
        <v>306.5</v>
      </c>
      <c r="G61" s="3">
        <f>(D61-Parametri!$A$8)-(A61-Parametri!$A$11)+Parametri!$A$2</f>
        <v>595.97345573965447</v>
      </c>
      <c r="H61">
        <f t="shared" si="1"/>
        <v>4.0414518843273806</v>
      </c>
      <c r="I61">
        <f>Parametri!$D$8</f>
        <v>0.11547005383792516</v>
      </c>
      <c r="K61">
        <f t="shared" si="2"/>
        <v>14</v>
      </c>
    </row>
    <row r="62" spans="1:12" x14ac:dyDescent="0.3">
      <c r="A62" s="2">
        <f t="shared" ref="A62:A86" si="7">A61+5</f>
        <v>330</v>
      </c>
      <c r="B62">
        <v>906</v>
      </c>
      <c r="C62">
        <v>915</v>
      </c>
      <c r="D62">
        <f t="shared" si="0"/>
        <v>910.48887966849986</v>
      </c>
      <c r="E62">
        <f>MAX(Parametri!$D$8, ABS(B62-C62)/(2*SQRT(3)))</f>
        <v>2.598076211353316</v>
      </c>
      <c r="F62">
        <f>(A62-Parametri!$A$11)+Parametri!$A$2+(Parametri!$A$5/2)</f>
        <v>311.5</v>
      </c>
      <c r="G62" s="3">
        <f>(D62-Parametri!$A$8)-(A62-Parametri!$A$11)+Parametri!$A$2</f>
        <v>578.48887966849986</v>
      </c>
      <c r="H62">
        <f t="shared" si="1"/>
        <v>2.598076211353316</v>
      </c>
      <c r="I62">
        <f>Parametri!$D$8</f>
        <v>0.11547005383792516</v>
      </c>
      <c r="K62">
        <f t="shared" si="2"/>
        <v>9</v>
      </c>
    </row>
    <row r="63" spans="1:12" s="12" customFormat="1" x14ac:dyDescent="0.3">
      <c r="A63" s="11">
        <f t="shared" si="7"/>
        <v>335</v>
      </c>
      <c r="B63" s="12">
        <v>886</v>
      </c>
      <c r="D63" s="12">
        <f t="shared" si="0"/>
        <v>886</v>
      </c>
      <c r="E63" s="12">
        <f>MAX(Parametri!$D$8, ABS(B63-C63)/(2*SQRT(3)))</f>
        <v>255.76616925100421</v>
      </c>
      <c r="F63" s="12">
        <f>(A63-Parametri!$A$11)+Parametri!$A$2+(Parametri!$A$5/2)</f>
        <v>316.5</v>
      </c>
      <c r="G63" s="13">
        <f>(D63-Parametri!$A$8)-(A63-Parametri!$A$11)+Parametri!$A$2</f>
        <v>549</v>
      </c>
      <c r="H63" s="12">
        <f t="shared" si="1"/>
        <v>255.76616925100421</v>
      </c>
      <c r="I63" s="12">
        <f>Parametri!$D$8</f>
        <v>0.11547005383792516</v>
      </c>
      <c r="K63" s="12">
        <f t="shared" si="2"/>
        <v>-886</v>
      </c>
      <c r="L63" s="12" t="s">
        <v>26</v>
      </c>
    </row>
    <row r="64" spans="1:12" x14ac:dyDescent="0.3">
      <c r="A64" s="2">
        <f t="shared" si="7"/>
        <v>340</v>
      </c>
      <c r="B64">
        <v>871</v>
      </c>
      <c r="D64">
        <f t="shared" si="0"/>
        <v>871</v>
      </c>
      <c r="E64">
        <f>MAX(Parametri!$D$8, ABS(B64-C64)/(2*SQRT(3)))</f>
        <v>251.43604223208203</v>
      </c>
      <c r="F64">
        <f>(A64-Parametri!$A$11)+Parametri!$A$2+(Parametri!$A$5/2)</f>
        <v>321.5</v>
      </c>
      <c r="G64" s="3">
        <f>(D64-Parametri!$A$8)-(A64-Parametri!$A$11)+Parametri!$A$2</f>
        <v>529</v>
      </c>
      <c r="H64">
        <f t="shared" si="1"/>
        <v>251.43604223208203</v>
      </c>
      <c r="I64">
        <f>Parametri!$D$8</f>
        <v>0.11547005383792516</v>
      </c>
      <c r="K64">
        <f t="shared" si="2"/>
        <v>-871</v>
      </c>
    </row>
    <row r="65" spans="1:11" x14ac:dyDescent="0.3">
      <c r="A65" s="2">
        <f t="shared" si="7"/>
        <v>345</v>
      </c>
      <c r="B65">
        <v>870</v>
      </c>
      <c r="D65">
        <f t="shared" si="0"/>
        <v>870</v>
      </c>
      <c r="E65">
        <f>MAX(Parametri!$D$8, ABS(B65-C65)/(2*SQRT(3)))</f>
        <v>251.14736709748723</v>
      </c>
      <c r="F65">
        <f>(A65-Parametri!$A$11)+Parametri!$A$2+(Parametri!$A$5/2)</f>
        <v>326.5</v>
      </c>
      <c r="G65" s="3">
        <f>(D65-Parametri!$A$8)-(A65-Parametri!$A$11)+Parametri!$A$2</f>
        <v>523</v>
      </c>
      <c r="H65">
        <f t="shared" si="1"/>
        <v>251.14736709748723</v>
      </c>
      <c r="I65">
        <f>Parametri!$D$8</f>
        <v>0.11547005383792516</v>
      </c>
      <c r="K65">
        <f t="shared" si="2"/>
        <v>-870</v>
      </c>
    </row>
    <row r="66" spans="1:11" x14ac:dyDescent="0.3">
      <c r="A66" s="2">
        <f t="shared" si="7"/>
        <v>350</v>
      </c>
      <c r="B66">
        <v>864</v>
      </c>
      <c r="D66">
        <f t="shared" si="0"/>
        <v>864</v>
      </c>
      <c r="E66">
        <f>MAX(Parametri!$D$8, ABS(B66-C66)/(2*SQRT(3)))</f>
        <v>249.41531628991834</v>
      </c>
      <c r="F66">
        <f>(A66-Parametri!$A$11)+Parametri!$A$2+(Parametri!$A$5/2)</f>
        <v>331.5</v>
      </c>
      <c r="G66" s="3">
        <f>(D66-Parametri!$A$8)-(A66-Parametri!$A$11)+Parametri!$A$2</f>
        <v>512</v>
      </c>
      <c r="H66">
        <f t="shared" si="1"/>
        <v>249.41531628991834</v>
      </c>
      <c r="I66">
        <f>Parametri!$D$8</f>
        <v>0.11547005383792516</v>
      </c>
      <c r="K66">
        <f t="shared" si="2"/>
        <v>-864</v>
      </c>
    </row>
    <row r="67" spans="1:11" x14ac:dyDescent="0.3">
      <c r="A67" s="2">
        <f t="shared" si="7"/>
        <v>355</v>
      </c>
      <c r="B67">
        <v>856</v>
      </c>
      <c r="D67">
        <f t="shared" ref="D67:D117" si="8">IF(C67=0, B67, GEOMEAN(B67:C67))</f>
        <v>856</v>
      </c>
      <c r="E67">
        <f>MAX(Parametri!$D$8, ABS(B67-C67)/(2*SQRT(3)))</f>
        <v>247.10591521315985</v>
      </c>
      <c r="F67">
        <f>(A67-Parametri!$A$11)+Parametri!$A$2+(Parametri!$A$5/2)</f>
        <v>336.5</v>
      </c>
      <c r="G67" s="3">
        <f>(D67-Parametri!$A$8)-(A67-Parametri!$A$11)+Parametri!$A$2</f>
        <v>499</v>
      </c>
      <c r="H67">
        <f t="shared" ref="H67:H117" si="9">E67</f>
        <v>247.10591521315985</v>
      </c>
      <c r="I67">
        <f>Parametri!$D$8</f>
        <v>0.11547005383792516</v>
      </c>
      <c r="K67">
        <f t="shared" ref="K67:K117" si="10">C67-B67</f>
        <v>-856</v>
      </c>
    </row>
    <row r="68" spans="1:11" x14ac:dyDescent="0.3">
      <c r="A68" s="2">
        <f t="shared" si="7"/>
        <v>360</v>
      </c>
      <c r="B68">
        <v>851</v>
      </c>
      <c r="D68">
        <f t="shared" si="8"/>
        <v>851</v>
      </c>
      <c r="E68">
        <f>MAX(Parametri!$D$8, ABS(B68-C68)/(2*SQRT(3)))</f>
        <v>245.66253954018578</v>
      </c>
      <c r="F68">
        <f>(A68-Parametri!$A$11)+Parametri!$A$2+(Parametri!$A$5/2)</f>
        <v>341.5</v>
      </c>
      <c r="G68" s="3">
        <f>(D68-Parametri!$A$8)-(A68-Parametri!$A$11)+Parametri!$A$2</f>
        <v>489</v>
      </c>
      <c r="H68">
        <f t="shared" si="9"/>
        <v>245.66253954018578</v>
      </c>
      <c r="I68">
        <f>Parametri!$D$8</f>
        <v>0.11547005383792516</v>
      </c>
      <c r="K68">
        <f t="shared" si="10"/>
        <v>-851</v>
      </c>
    </row>
    <row r="69" spans="1:11" x14ac:dyDescent="0.3">
      <c r="A69" s="2">
        <f t="shared" si="7"/>
        <v>365</v>
      </c>
      <c r="B69">
        <v>846</v>
      </c>
      <c r="D69">
        <f t="shared" si="8"/>
        <v>846</v>
      </c>
      <c r="E69">
        <f>MAX(Parametri!$D$8, ABS(B69-C69)/(2*SQRT(3)))</f>
        <v>244.21916386721171</v>
      </c>
      <c r="F69">
        <f>(A69-Parametri!$A$11)+Parametri!$A$2+(Parametri!$A$5/2)</f>
        <v>346.5</v>
      </c>
      <c r="G69" s="3">
        <f>(D69-Parametri!$A$8)-(A69-Parametri!$A$11)+Parametri!$A$2</f>
        <v>479</v>
      </c>
      <c r="H69">
        <f t="shared" si="9"/>
        <v>244.21916386721171</v>
      </c>
      <c r="I69">
        <f>Parametri!$D$8</f>
        <v>0.11547005383792516</v>
      </c>
      <c r="K69">
        <f t="shared" si="10"/>
        <v>-846</v>
      </c>
    </row>
    <row r="70" spans="1:11" x14ac:dyDescent="0.3">
      <c r="A70" s="2">
        <f t="shared" si="7"/>
        <v>370</v>
      </c>
      <c r="B70">
        <v>840</v>
      </c>
      <c r="D70">
        <f t="shared" si="8"/>
        <v>840</v>
      </c>
      <c r="E70">
        <f>MAX(Parametri!$D$8, ABS(B70-C70)/(2*SQRT(3)))</f>
        <v>242.48711305964284</v>
      </c>
      <c r="F70">
        <f>(A70-Parametri!$A$11)+Parametri!$A$2+(Parametri!$A$5/2)</f>
        <v>351.5</v>
      </c>
      <c r="G70" s="3">
        <f>(D70-Parametri!$A$8)-(A70-Parametri!$A$11)+Parametri!$A$2</f>
        <v>468</v>
      </c>
      <c r="H70">
        <f t="shared" si="9"/>
        <v>242.48711305964284</v>
      </c>
      <c r="I70">
        <f>Parametri!$D$8</f>
        <v>0.11547005383792516</v>
      </c>
      <c r="K70">
        <f t="shared" si="10"/>
        <v>-840</v>
      </c>
    </row>
    <row r="71" spans="1:11" x14ac:dyDescent="0.3">
      <c r="A71" s="2">
        <f t="shared" si="7"/>
        <v>375</v>
      </c>
      <c r="B71">
        <v>835</v>
      </c>
      <c r="D71">
        <f t="shared" si="8"/>
        <v>835</v>
      </c>
      <c r="E71">
        <f>MAX(Parametri!$D$8, ABS(B71-C71)/(2*SQRT(3)))</f>
        <v>241.04373738666877</v>
      </c>
      <c r="F71">
        <f>(A71-Parametri!$A$11)+Parametri!$A$2+(Parametri!$A$5/2)</f>
        <v>356.5</v>
      </c>
      <c r="G71" s="3">
        <f>(D71-Parametri!$A$8)-(A71-Parametri!$A$11)+Parametri!$A$2</f>
        <v>458</v>
      </c>
      <c r="H71">
        <f t="shared" si="9"/>
        <v>241.04373738666877</v>
      </c>
      <c r="I71">
        <f>Parametri!$D$8</f>
        <v>0.11547005383792516</v>
      </c>
      <c r="K71">
        <f t="shared" si="10"/>
        <v>-835</v>
      </c>
    </row>
    <row r="72" spans="1:11" x14ac:dyDescent="0.3">
      <c r="A72" s="2">
        <f t="shared" si="7"/>
        <v>380</v>
      </c>
      <c r="B72">
        <v>833</v>
      </c>
      <c r="D72">
        <f t="shared" si="8"/>
        <v>833</v>
      </c>
      <c r="E72">
        <f>MAX(Parametri!$D$8, ABS(B72-C72)/(2*SQRT(3)))</f>
        <v>240.46638711747914</v>
      </c>
      <c r="F72">
        <f>(A72-Parametri!$A$11)+Parametri!$A$2+(Parametri!$A$5/2)</f>
        <v>361.5</v>
      </c>
      <c r="G72" s="3">
        <f>(D72-Parametri!$A$8)-(A72-Parametri!$A$11)+Parametri!$A$2</f>
        <v>451</v>
      </c>
      <c r="H72">
        <f t="shared" si="9"/>
        <v>240.46638711747914</v>
      </c>
      <c r="I72">
        <f>Parametri!$D$8</f>
        <v>0.11547005383792516</v>
      </c>
      <c r="K72">
        <f t="shared" si="10"/>
        <v>-833</v>
      </c>
    </row>
    <row r="73" spans="1:11" x14ac:dyDescent="0.3">
      <c r="A73" s="2">
        <f t="shared" si="7"/>
        <v>385</v>
      </c>
      <c r="B73">
        <v>832</v>
      </c>
      <c r="D73">
        <f t="shared" si="8"/>
        <v>832</v>
      </c>
      <c r="E73">
        <f>MAX(Parametri!$D$8, ABS(B73-C73)/(2*SQRT(3)))</f>
        <v>240.17771198288432</v>
      </c>
      <c r="F73">
        <f>(A73-Parametri!$A$11)+Parametri!$A$2+(Parametri!$A$5/2)</f>
        <v>366.5</v>
      </c>
      <c r="G73" s="3">
        <f>(D73-Parametri!$A$8)-(A73-Parametri!$A$11)+Parametri!$A$2</f>
        <v>445</v>
      </c>
      <c r="H73">
        <f t="shared" si="9"/>
        <v>240.17771198288432</v>
      </c>
      <c r="I73">
        <f>Parametri!$D$8</f>
        <v>0.11547005383792516</v>
      </c>
      <c r="K73">
        <f t="shared" si="10"/>
        <v>-832</v>
      </c>
    </row>
    <row r="74" spans="1:11" x14ac:dyDescent="0.3">
      <c r="A74" s="2">
        <f t="shared" si="7"/>
        <v>390</v>
      </c>
      <c r="B74">
        <v>828</v>
      </c>
      <c r="D74">
        <f t="shared" si="8"/>
        <v>828</v>
      </c>
      <c r="E74">
        <f>MAX(Parametri!$D$8, ABS(B74-C74)/(2*SQRT(3)))</f>
        <v>239.02301144450507</v>
      </c>
      <c r="F74">
        <f>(A74-Parametri!$A$11)+Parametri!$A$2+(Parametri!$A$5/2)</f>
        <v>371.5</v>
      </c>
      <c r="G74" s="3">
        <f>(D74-Parametri!$A$8)-(A74-Parametri!$A$11)+Parametri!$A$2</f>
        <v>436</v>
      </c>
      <c r="H74">
        <f t="shared" si="9"/>
        <v>239.02301144450507</v>
      </c>
      <c r="I74">
        <f>Parametri!$D$8</f>
        <v>0.11547005383792516</v>
      </c>
      <c r="K74">
        <f t="shared" si="10"/>
        <v>-828</v>
      </c>
    </row>
    <row r="75" spans="1:11" x14ac:dyDescent="0.3">
      <c r="A75" s="2">
        <f t="shared" si="7"/>
        <v>395</v>
      </c>
      <c r="B75">
        <v>825</v>
      </c>
      <c r="D75">
        <f t="shared" si="8"/>
        <v>825</v>
      </c>
      <c r="E75">
        <f>MAX(Parametri!$D$8, ABS(B75-C75)/(2*SQRT(3)))</f>
        <v>238.15698604072065</v>
      </c>
      <c r="F75">
        <f>(A75-Parametri!$A$11)+Parametri!$A$2+(Parametri!$A$5/2)</f>
        <v>376.5</v>
      </c>
      <c r="G75" s="3">
        <f>(D75-Parametri!$A$8)-(A75-Parametri!$A$11)+Parametri!$A$2</f>
        <v>428</v>
      </c>
      <c r="H75">
        <f t="shared" si="9"/>
        <v>238.15698604072065</v>
      </c>
      <c r="I75">
        <f>Parametri!$D$8</f>
        <v>0.11547005383792516</v>
      </c>
      <c r="K75">
        <f t="shared" si="10"/>
        <v>-825</v>
      </c>
    </row>
    <row r="76" spans="1:11" x14ac:dyDescent="0.3">
      <c r="A76" s="2">
        <f t="shared" si="7"/>
        <v>400</v>
      </c>
      <c r="B76">
        <v>822</v>
      </c>
      <c r="D76">
        <f t="shared" si="8"/>
        <v>822</v>
      </c>
      <c r="E76">
        <f>MAX(Parametri!$D$8, ABS(B76-C76)/(2*SQRT(3)))</f>
        <v>237.29096063693621</v>
      </c>
      <c r="F76">
        <f>(A76-Parametri!$A$11)+Parametri!$A$2+(Parametri!$A$5/2)</f>
        <v>381.5</v>
      </c>
      <c r="G76" s="3">
        <f>(D76-Parametri!$A$8)-(A76-Parametri!$A$11)+Parametri!$A$2</f>
        <v>420</v>
      </c>
      <c r="H76">
        <f t="shared" si="9"/>
        <v>237.29096063693621</v>
      </c>
      <c r="I76">
        <f>Parametri!$D$8</f>
        <v>0.11547005383792516</v>
      </c>
      <c r="K76">
        <f t="shared" si="10"/>
        <v>-822</v>
      </c>
    </row>
    <row r="77" spans="1:11" x14ac:dyDescent="0.3">
      <c r="A77" s="2">
        <f t="shared" si="7"/>
        <v>405</v>
      </c>
      <c r="B77">
        <v>820</v>
      </c>
      <c r="D77">
        <f t="shared" si="8"/>
        <v>820</v>
      </c>
      <c r="E77">
        <f>MAX(Parametri!$D$8, ABS(B77-C77)/(2*SQRT(3)))</f>
        <v>236.71361036774658</v>
      </c>
      <c r="F77">
        <f>(A77-Parametri!$A$11)+Parametri!$A$2+(Parametri!$A$5/2)</f>
        <v>386.5</v>
      </c>
      <c r="G77" s="3">
        <f>(D77-Parametri!$A$8)-(A77-Parametri!$A$11)+Parametri!$A$2</f>
        <v>413</v>
      </c>
      <c r="H77">
        <f t="shared" si="9"/>
        <v>236.71361036774658</v>
      </c>
      <c r="I77">
        <f>Parametri!$D$8</f>
        <v>0.11547005383792516</v>
      </c>
      <c r="K77">
        <f t="shared" si="10"/>
        <v>-820</v>
      </c>
    </row>
    <row r="78" spans="1:11" x14ac:dyDescent="0.3">
      <c r="A78" s="2">
        <f t="shared" si="7"/>
        <v>410</v>
      </c>
      <c r="B78">
        <v>816</v>
      </c>
      <c r="D78">
        <f t="shared" si="8"/>
        <v>816</v>
      </c>
      <c r="E78">
        <f>MAX(Parametri!$D$8, ABS(B78-C78)/(2*SQRT(3)))</f>
        <v>235.55890982936734</v>
      </c>
      <c r="F78">
        <f>(A78-Parametri!$A$11)+Parametri!$A$2+(Parametri!$A$5/2)</f>
        <v>391.5</v>
      </c>
      <c r="G78" s="3">
        <f>(D78-Parametri!$A$8)-(A78-Parametri!$A$11)+Parametri!$A$2</f>
        <v>404</v>
      </c>
      <c r="H78">
        <f t="shared" si="9"/>
        <v>235.55890982936734</v>
      </c>
      <c r="I78">
        <f>Parametri!$D$8</f>
        <v>0.11547005383792516</v>
      </c>
      <c r="K78">
        <f t="shared" si="10"/>
        <v>-816</v>
      </c>
    </row>
    <row r="79" spans="1:11" x14ac:dyDescent="0.3">
      <c r="A79" s="2">
        <f t="shared" si="7"/>
        <v>415</v>
      </c>
      <c r="B79">
        <v>814</v>
      </c>
      <c r="D79">
        <f t="shared" si="8"/>
        <v>814</v>
      </c>
      <c r="E79">
        <f>MAX(Parametri!$D$8, ABS(B79-C79)/(2*SQRT(3)))</f>
        <v>234.98155956017769</v>
      </c>
      <c r="F79">
        <f>(A79-Parametri!$A$11)+Parametri!$A$2+(Parametri!$A$5/2)</f>
        <v>396.5</v>
      </c>
      <c r="G79" s="3">
        <f>(D79-Parametri!$A$8)-(A79-Parametri!$A$11)+Parametri!$A$2</f>
        <v>397</v>
      </c>
      <c r="H79">
        <f t="shared" si="9"/>
        <v>234.98155956017769</v>
      </c>
      <c r="I79">
        <f>Parametri!$D$8</f>
        <v>0.11547005383792516</v>
      </c>
      <c r="K79">
        <f t="shared" si="10"/>
        <v>-814</v>
      </c>
    </row>
    <row r="80" spans="1:11" x14ac:dyDescent="0.3">
      <c r="A80" s="2">
        <f t="shared" si="7"/>
        <v>420</v>
      </c>
      <c r="B80">
        <v>822</v>
      </c>
      <c r="D80">
        <f t="shared" si="8"/>
        <v>822</v>
      </c>
      <c r="E80">
        <f>MAX(Parametri!$D$8, ABS(B80-C80)/(2*SQRT(3)))</f>
        <v>237.29096063693621</v>
      </c>
      <c r="F80">
        <f>(A80-Parametri!$A$11)+Parametri!$A$2+(Parametri!$A$5/2)</f>
        <v>401.5</v>
      </c>
      <c r="G80" s="3">
        <f>(D80-Parametri!$A$8)-(A80-Parametri!$A$11)+Parametri!$A$2</f>
        <v>400</v>
      </c>
      <c r="H80">
        <f t="shared" si="9"/>
        <v>237.29096063693621</v>
      </c>
      <c r="I80">
        <f>Parametri!$D$8</f>
        <v>0.11547005383792516</v>
      </c>
      <c r="K80">
        <f t="shared" si="10"/>
        <v>-822</v>
      </c>
    </row>
    <row r="81" spans="1:11" x14ac:dyDescent="0.3">
      <c r="A81" s="2">
        <f t="shared" si="7"/>
        <v>425</v>
      </c>
      <c r="B81">
        <v>825</v>
      </c>
      <c r="D81">
        <f t="shared" si="8"/>
        <v>825</v>
      </c>
      <c r="E81">
        <f>MAX(Parametri!$D$8, ABS(B81-C81)/(2*SQRT(3)))</f>
        <v>238.15698604072065</v>
      </c>
      <c r="F81">
        <f>(A81-Parametri!$A$11)+Parametri!$A$2+(Parametri!$A$5/2)</f>
        <v>406.5</v>
      </c>
      <c r="G81" s="3">
        <f>(D81-Parametri!$A$8)-(A81-Parametri!$A$11)+Parametri!$A$2</f>
        <v>398</v>
      </c>
      <c r="H81">
        <f t="shared" si="9"/>
        <v>238.15698604072065</v>
      </c>
      <c r="I81">
        <f>Parametri!$D$8</f>
        <v>0.11547005383792516</v>
      </c>
      <c r="K81">
        <f t="shared" si="10"/>
        <v>-825</v>
      </c>
    </row>
    <row r="82" spans="1:11" x14ac:dyDescent="0.3">
      <c r="A82" s="2">
        <f t="shared" si="7"/>
        <v>430</v>
      </c>
      <c r="B82">
        <v>827</v>
      </c>
      <c r="D82">
        <f t="shared" si="8"/>
        <v>827</v>
      </c>
      <c r="E82">
        <f>MAX(Parametri!$D$8, ABS(B82-C82)/(2*SQRT(3)))</f>
        <v>238.73433630991028</v>
      </c>
      <c r="F82">
        <f>(A82-Parametri!$A$11)+Parametri!$A$2+(Parametri!$A$5/2)</f>
        <v>411.5</v>
      </c>
      <c r="G82" s="3">
        <f>(D82-Parametri!$A$8)-(A82-Parametri!$A$11)+Parametri!$A$2</f>
        <v>395</v>
      </c>
      <c r="H82">
        <f t="shared" si="9"/>
        <v>238.73433630991028</v>
      </c>
      <c r="I82">
        <f>Parametri!$D$8</f>
        <v>0.11547005383792516</v>
      </c>
      <c r="K82">
        <f t="shared" si="10"/>
        <v>-827</v>
      </c>
    </row>
    <row r="83" spans="1:11" x14ac:dyDescent="0.3">
      <c r="A83" s="2">
        <f t="shared" si="7"/>
        <v>435</v>
      </c>
      <c r="B83">
        <v>827</v>
      </c>
      <c r="D83">
        <f t="shared" si="8"/>
        <v>827</v>
      </c>
      <c r="E83">
        <f>MAX(Parametri!$D$8, ABS(B83-C83)/(2*SQRT(3)))</f>
        <v>238.73433630991028</v>
      </c>
      <c r="F83">
        <f>(A83-Parametri!$A$11)+Parametri!$A$2+(Parametri!$A$5/2)</f>
        <v>416.5</v>
      </c>
      <c r="G83" s="3">
        <f>(D83-Parametri!$A$8)-(A83-Parametri!$A$11)+Parametri!$A$2</f>
        <v>390</v>
      </c>
      <c r="H83">
        <f t="shared" si="9"/>
        <v>238.73433630991028</v>
      </c>
      <c r="I83">
        <f>Parametri!$D$8</f>
        <v>0.11547005383792516</v>
      </c>
      <c r="K83">
        <f t="shared" si="10"/>
        <v>-827</v>
      </c>
    </row>
    <row r="84" spans="1:11" x14ac:dyDescent="0.3">
      <c r="A84" s="2">
        <f t="shared" si="7"/>
        <v>440</v>
      </c>
      <c r="B84">
        <v>829</v>
      </c>
      <c r="D84">
        <f t="shared" si="8"/>
        <v>829</v>
      </c>
      <c r="E84">
        <f>MAX(Parametri!$D$8, ABS(B84-C84)/(2*SQRT(3)))</f>
        <v>239.3116865790999</v>
      </c>
      <c r="F84">
        <f>(A84-Parametri!$A$11)+Parametri!$A$2+(Parametri!$A$5/2)</f>
        <v>421.5</v>
      </c>
      <c r="G84" s="3">
        <f>(D84-Parametri!$A$8)-(A84-Parametri!$A$11)+Parametri!$A$2</f>
        <v>387</v>
      </c>
      <c r="H84">
        <f t="shared" si="9"/>
        <v>239.3116865790999</v>
      </c>
      <c r="I84">
        <f>Parametri!$D$8</f>
        <v>0.11547005383792516</v>
      </c>
      <c r="K84">
        <f t="shared" si="10"/>
        <v>-829</v>
      </c>
    </row>
    <row r="85" spans="1:11" x14ac:dyDescent="0.3">
      <c r="A85" s="2">
        <f t="shared" si="7"/>
        <v>445</v>
      </c>
      <c r="B85">
        <v>830</v>
      </c>
      <c r="D85">
        <f t="shared" si="8"/>
        <v>830</v>
      </c>
      <c r="E85">
        <f>MAX(Parametri!$D$8, ABS(B85-C85)/(2*SQRT(3)))</f>
        <v>239.6003617136947</v>
      </c>
      <c r="F85">
        <f>(A85-Parametri!$A$11)+Parametri!$A$2+(Parametri!$A$5/2)</f>
        <v>426.5</v>
      </c>
      <c r="G85" s="3">
        <f>(D85-Parametri!$A$8)-(A85-Parametri!$A$11)+Parametri!$A$2</f>
        <v>383</v>
      </c>
      <c r="H85">
        <f t="shared" si="9"/>
        <v>239.6003617136947</v>
      </c>
      <c r="I85">
        <f>Parametri!$D$8</f>
        <v>0.11547005383792516</v>
      </c>
      <c r="K85">
        <f t="shared" si="10"/>
        <v>-830</v>
      </c>
    </row>
    <row r="86" spans="1:11" x14ac:dyDescent="0.3">
      <c r="A86" s="2">
        <f t="shared" si="7"/>
        <v>450</v>
      </c>
      <c r="B86">
        <v>831</v>
      </c>
      <c r="D86">
        <f t="shared" si="8"/>
        <v>831</v>
      </c>
      <c r="E86">
        <f>MAX(Parametri!$D$8, ABS(B86-C86)/(2*SQRT(3)))</f>
        <v>239.88903684828952</v>
      </c>
      <c r="F86">
        <f>(A86-Parametri!$A$11)+Parametri!$A$2+(Parametri!$A$5/2)</f>
        <v>431.5</v>
      </c>
      <c r="G86" s="3">
        <f>(D86-Parametri!$A$8)-(A86-Parametri!$A$11)+Parametri!$A$2</f>
        <v>379</v>
      </c>
      <c r="H86">
        <f t="shared" si="9"/>
        <v>239.88903684828952</v>
      </c>
      <c r="I86">
        <f>Parametri!$D$8</f>
        <v>0.11547005383792516</v>
      </c>
      <c r="K86">
        <f t="shared" si="10"/>
        <v>-831</v>
      </c>
    </row>
    <row r="87" spans="1:11" x14ac:dyDescent="0.3">
      <c r="A87" s="2">
        <f>A86+10</f>
        <v>460</v>
      </c>
      <c r="B87">
        <v>832</v>
      </c>
      <c r="D87">
        <f t="shared" si="8"/>
        <v>832</v>
      </c>
      <c r="E87">
        <f>MAX(Parametri!$D$8, ABS(B87-C87)/(2*SQRT(3)))</f>
        <v>240.17771198288432</v>
      </c>
      <c r="F87">
        <f>(A87-Parametri!$A$11)+Parametri!$A$2+(Parametri!$A$5/2)</f>
        <v>441.5</v>
      </c>
      <c r="G87" s="3">
        <f>(D87-Parametri!$A$8)-(A87-Parametri!$A$11)+Parametri!$A$2</f>
        <v>370</v>
      </c>
      <c r="H87">
        <f t="shared" si="9"/>
        <v>240.17771198288432</v>
      </c>
      <c r="I87">
        <f>Parametri!$D$8</f>
        <v>0.11547005383792516</v>
      </c>
      <c r="K87">
        <f t="shared" si="10"/>
        <v>-832</v>
      </c>
    </row>
    <row r="88" spans="1:11" x14ac:dyDescent="0.3">
      <c r="A88" s="2">
        <f t="shared" ref="A88:A101" si="11">A87+10</f>
        <v>470</v>
      </c>
      <c r="B88">
        <v>837</v>
      </c>
      <c r="D88">
        <f t="shared" si="8"/>
        <v>837</v>
      </c>
      <c r="E88">
        <f>MAX(Parametri!$D$8, ABS(B88-C88)/(2*SQRT(3)))</f>
        <v>241.62108765585839</v>
      </c>
      <c r="F88">
        <f>(A88-Parametri!$A$11)+Parametri!$A$2+(Parametri!$A$5/2)</f>
        <v>451.5</v>
      </c>
      <c r="G88" s="3">
        <f>(D88-Parametri!$A$8)-(A88-Parametri!$A$11)+Parametri!$A$2</f>
        <v>365</v>
      </c>
      <c r="H88">
        <f t="shared" si="9"/>
        <v>241.62108765585839</v>
      </c>
      <c r="I88">
        <f>Parametri!$D$8</f>
        <v>0.11547005383792516</v>
      </c>
      <c r="K88">
        <f t="shared" si="10"/>
        <v>-837</v>
      </c>
    </row>
    <row r="89" spans="1:11" x14ac:dyDescent="0.3">
      <c r="A89" s="2">
        <f t="shared" si="11"/>
        <v>480</v>
      </c>
      <c r="B89">
        <v>840</v>
      </c>
      <c r="D89">
        <f t="shared" si="8"/>
        <v>840</v>
      </c>
      <c r="E89">
        <f>MAX(Parametri!$D$8, ABS(B89-C89)/(2*SQRT(3)))</f>
        <v>242.48711305964284</v>
      </c>
      <c r="F89">
        <f>(A89-Parametri!$A$11)+Parametri!$A$2+(Parametri!$A$5/2)</f>
        <v>461.5</v>
      </c>
      <c r="G89" s="3">
        <f>(D89-Parametri!$A$8)-(A89-Parametri!$A$11)+Parametri!$A$2</f>
        <v>358</v>
      </c>
      <c r="H89">
        <f t="shared" si="9"/>
        <v>242.48711305964284</v>
      </c>
      <c r="I89">
        <f>Parametri!$D$8</f>
        <v>0.11547005383792516</v>
      </c>
      <c r="K89">
        <f t="shared" si="10"/>
        <v>-840</v>
      </c>
    </row>
    <row r="90" spans="1:11" x14ac:dyDescent="0.3">
      <c r="A90" s="2">
        <f t="shared" si="11"/>
        <v>490</v>
      </c>
      <c r="B90">
        <v>835</v>
      </c>
      <c r="D90">
        <f t="shared" si="8"/>
        <v>835</v>
      </c>
      <c r="E90">
        <f>MAX(Parametri!$D$8, ABS(B90-C90)/(2*SQRT(3)))</f>
        <v>241.04373738666877</v>
      </c>
      <c r="F90">
        <f>(A90-Parametri!$A$11)+Parametri!$A$2+(Parametri!$A$5/2)</f>
        <v>471.5</v>
      </c>
      <c r="G90" s="3">
        <f>(D90-Parametri!$A$8)-(A90-Parametri!$A$11)+Parametri!$A$2</f>
        <v>343</v>
      </c>
      <c r="H90">
        <f t="shared" si="9"/>
        <v>241.04373738666877</v>
      </c>
      <c r="I90">
        <f>Parametri!$D$8</f>
        <v>0.11547005383792516</v>
      </c>
      <c r="K90">
        <f t="shared" si="10"/>
        <v>-835</v>
      </c>
    </row>
    <row r="91" spans="1:11" x14ac:dyDescent="0.3">
      <c r="A91" s="2">
        <f t="shared" si="11"/>
        <v>500</v>
      </c>
      <c r="B91">
        <v>850</v>
      </c>
      <c r="D91">
        <f t="shared" si="8"/>
        <v>850</v>
      </c>
      <c r="E91">
        <f>MAX(Parametri!$D$8, ABS(B91-C91)/(2*SQRT(3)))</f>
        <v>245.37386440559095</v>
      </c>
      <c r="F91">
        <f>(A91-Parametri!$A$11)+Parametri!$A$2+(Parametri!$A$5/2)</f>
        <v>481.5</v>
      </c>
      <c r="G91" s="3">
        <f>(D91-Parametri!$A$8)-(A91-Parametri!$A$11)+Parametri!$A$2</f>
        <v>348</v>
      </c>
      <c r="H91">
        <f t="shared" si="9"/>
        <v>245.37386440559095</v>
      </c>
      <c r="I91">
        <f>Parametri!$D$8</f>
        <v>0.11547005383792516</v>
      </c>
      <c r="K91">
        <f t="shared" si="10"/>
        <v>-850</v>
      </c>
    </row>
    <row r="92" spans="1:11" x14ac:dyDescent="0.3">
      <c r="A92" s="2">
        <f t="shared" si="11"/>
        <v>510</v>
      </c>
      <c r="B92">
        <v>855</v>
      </c>
      <c r="D92">
        <f t="shared" si="8"/>
        <v>855</v>
      </c>
      <c r="E92">
        <f>MAX(Parametri!$D$8, ABS(B92-C92)/(2*SQRT(3)))</f>
        <v>246.81724007856502</v>
      </c>
      <c r="F92">
        <f>(A92-Parametri!$A$11)+Parametri!$A$2+(Parametri!$A$5/2)</f>
        <v>491.5</v>
      </c>
      <c r="G92" s="3">
        <f>(D92-Parametri!$A$8)-(A92-Parametri!$A$11)+Parametri!$A$2</f>
        <v>343</v>
      </c>
      <c r="H92">
        <f t="shared" si="9"/>
        <v>246.81724007856502</v>
      </c>
      <c r="I92">
        <f>Parametri!$D$8</f>
        <v>0.11547005383792516</v>
      </c>
      <c r="K92">
        <f t="shared" si="10"/>
        <v>-855</v>
      </c>
    </row>
    <row r="93" spans="1:11" x14ac:dyDescent="0.3">
      <c r="A93" s="2">
        <f t="shared" si="11"/>
        <v>520</v>
      </c>
      <c r="B93">
        <v>860</v>
      </c>
      <c r="D93">
        <f t="shared" si="8"/>
        <v>860</v>
      </c>
      <c r="E93">
        <f>MAX(Parametri!$D$8, ABS(B93-C93)/(2*SQRT(3)))</f>
        <v>248.26061575153909</v>
      </c>
      <c r="F93">
        <f>(A93-Parametri!$A$11)+Parametri!$A$2+(Parametri!$A$5/2)</f>
        <v>501.5</v>
      </c>
      <c r="G93" s="3">
        <f>(D93-Parametri!$A$8)-(A93-Parametri!$A$11)+Parametri!$A$2</f>
        <v>338</v>
      </c>
      <c r="H93">
        <f t="shared" si="9"/>
        <v>248.26061575153909</v>
      </c>
      <c r="I93">
        <f>Parametri!$D$8</f>
        <v>0.11547005383792516</v>
      </c>
      <c r="K93">
        <f t="shared" si="10"/>
        <v>-860</v>
      </c>
    </row>
    <row r="94" spans="1:11" x14ac:dyDescent="0.3">
      <c r="A94" s="2">
        <f t="shared" si="11"/>
        <v>530</v>
      </c>
      <c r="B94">
        <v>865</v>
      </c>
      <c r="D94">
        <f t="shared" si="8"/>
        <v>865</v>
      </c>
      <c r="E94">
        <f>MAX(Parametri!$D$8, ABS(B94-C94)/(2*SQRT(3)))</f>
        <v>249.70399142451316</v>
      </c>
      <c r="F94">
        <f>(A94-Parametri!$A$11)+Parametri!$A$2+(Parametri!$A$5/2)</f>
        <v>511.5</v>
      </c>
      <c r="G94" s="3">
        <f>(D94-Parametri!$A$8)-(A94-Parametri!$A$11)+Parametri!$A$2</f>
        <v>333</v>
      </c>
      <c r="H94">
        <f t="shared" si="9"/>
        <v>249.70399142451316</v>
      </c>
      <c r="I94">
        <f>Parametri!$D$8</f>
        <v>0.11547005383792516</v>
      </c>
      <c r="K94">
        <f t="shared" si="10"/>
        <v>-865</v>
      </c>
    </row>
    <row r="95" spans="1:11" x14ac:dyDescent="0.3">
      <c r="A95" s="2">
        <f t="shared" si="11"/>
        <v>540</v>
      </c>
      <c r="B95">
        <v>870</v>
      </c>
      <c r="D95">
        <f t="shared" si="8"/>
        <v>870</v>
      </c>
      <c r="E95">
        <f>MAX(Parametri!$D$8, ABS(B95-C95)/(2*SQRT(3)))</f>
        <v>251.14736709748723</v>
      </c>
      <c r="F95">
        <f>(A95-Parametri!$A$11)+Parametri!$A$2+(Parametri!$A$5/2)</f>
        <v>521.5</v>
      </c>
      <c r="G95" s="3">
        <f>(D95-Parametri!$A$8)-(A95-Parametri!$A$11)+Parametri!$A$2</f>
        <v>328</v>
      </c>
      <c r="H95">
        <f t="shared" si="9"/>
        <v>251.14736709748723</v>
      </c>
      <c r="I95">
        <f>Parametri!$D$8</f>
        <v>0.11547005383792516</v>
      </c>
      <c r="K95">
        <f t="shared" si="10"/>
        <v>-870</v>
      </c>
    </row>
    <row r="96" spans="1:11" x14ac:dyDescent="0.3">
      <c r="A96" s="2">
        <f t="shared" si="11"/>
        <v>550</v>
      </c>
      <c r="B96">
        <v>875</v>
      </c>
      <c r="D96">
        <f t="shared" si="8"/>
        <v>875</v>
      </c>
      <c r="E96">
        <f>MAX(Parametri!$D$8, ABS(B96-C96)/(2*SQRT(3)))</f>
        <v>252.59074277046128</v>
      </c>
      <c r="F96">
        <f>(A96-Parametri!$A$11)+Parametri!$A$2+(Parametri!$A$5/2)</f>
        <v>531.5</v>
      </c>
      <c r="G96" s="3">
        <f>(D96-Parametri!$A$8)-(A96-Parametri!$A$11)+Parametri!$A$2</f>
        <v>323</v>
      </c>
      <c r="H96">
        <f t="shared" si="9"/>
        <v>252.59074277046128</v>
      </c>
      <c r="I96">
        <f>Parametri!$D$8</f>
        <v>0.11547005383792516</v>
      </c>
      <c r="K96">
        <f t="shared" si="10"/>
        <v>-875</v>
      </c>
    </row>
    <row r="97" spans="1:11" x14ac:dyDescent="0.3">
      <c r="A97" s="2">
        <f t="shared" si="11"/>
        <v>560</v>
      </c>
      <c r="B97">
        <v>885</v>
      </c>
      <c r="D97">
        <f t="shared" si="8"/>
        <v>885</v>
      </c>
      <c r="E97">
        <f>MAX(Parametri!$D$8, ABS(B97-C97)/(2*SQRT(3)))</f>
        <v>255.47749411640942</v>
      </c>
      <c r="F97">
        <f>(A97-Parametri!$A$11)+Parametri!$A$2+(Parametri!$A$5/2)</f>
        <v>541.5</v>
      </c>
      <c r="G97" s="3">
        <f>(D97-Parametri!$A$8)-(A97-Parametri!$A$11)+Parametri!$A$2</f>
        <v>323</v>
      </c>
      <c r="H97">
        <f t="shared" si="9"/>
        <v>255.47749411640942</v>
      </c>
      <c r="I97">
        <f>Parametri!$D$8</f>
        <v>0.11547005383792516</v>
      </c>
      <c r="K97">
        <f t="shared" si="10"/>
        <v>-885</v>
      </c>
    </row>
    <row r="98" spans="1:11" x14ac:dyDescent="0.3">
      <c r="A98" s="2">
        <f t="shared" si="11"/>
        <v>570</v>
      </c>
      <c r="B98">
        <v>890</v>
      </c>
      <c r="D98">
        <f t="shared" si="8"/>
        <v>890</v>
      </c>
      <c r="E98">
        <f>MAX(Parametri!$D$8, ABS(B98-C98)/(2*SQRT(3)))</f>
        <v>256.92086978938346</v>
      </c>
      <c r="F98">
        <f>(A98-Parametri!$A$11)+Parametri!$A$2+(Parametri!$A$5/2)</f>
        <v>551.5</v>
      </c>
      <c r="G98" s="3">
        <f>(D98-Parametri!$A$8)-(A98-Parametri!$A$11)+Parametri!$A$2</f>
        <v>318</v>
      </c>
      <c r="H98">
        <f t="shared" si="9"/>
        <v>256.92086978938346</v>
      </c>
      <c r="I98">
        <f>Parametri!$D$8</f>
        <v>0.11547005383792516</v>
      </c>
      <c r="K98">
        <f t="shared" si="10"/>
        <v>-890</v>
      </c>
    </row>
    <row r="99" spans="1:11" x14ac:dyDescent="0.3">
      <c r="A99" s="2">
        <f t="shared" si="11"/>
        <v>580</v>
      </c>
      <c r="B99">
        <v>897</v>
      </c>
      <c r="D99">
        <f t="shared" si="8"/>
        <v>897</v>
      </c>
      <c r="E99">
        <f>MAX(Parametri!$D$8, ABS(B99-C99)/(2*SQRT(3)))</f>
        <v>258.94159573154718</v>
      </c>
      <c r="F99">
        <f>(A99-Parametri!$A$11)+Parametri!$A$2+(Parametri!$A$5/2)</f>
        <v>561.5</v>
      </c>
      <c r="G99" s="3">
        <f>(D99-Parametri!$A$8)-(A99-Parametri!$A$11)+Parametri!$A$2</f>
        <v>315</v>
      </c>
      <c r="H99">
        <f t="shared" si="9"/>
        <v>258.94159573154718</v>
      </c>
      <c r="I99">
        <f>Parametri!$D$8</f>
        <v>0.11547005383792516</v>
      </c>
      <c r="K99">
        <f t="shared" si="10"/>
        <v>-897</v>
      </c>
    </row>
    <row r="100" spans="1:11" x14ac:dyDescent="0.3">
      <c r="A100" s="2">
        <f t="shared" si="11"/>
        <v>590</v>
      </c>
      <c r="B100">
        <v>905</v>
      </c>
      <c r="D100">
        <f t="shared" si="8"/>
        <v>905</v>
      </c>
      <c r="E100">
        <f>MAX(Parametri!$D$8, ABS(B100-C100)/(2*SQRT(3)))</f>
        <v>261.25099680830567</v>
      </c>
      <c r="F100">
        <f>(A100-Parametri!$A$11)+Parametri!$A$2+(Parametri!$A$5/2)</f>
        <v>571.5</v>
      </c>
      <c r="G100" s="3">
        <f>(D100-Parametri!$A$8)-(A100-Parametri!$A$11)+Parametri!$A$2</f>
        <v>313</v>
      </c>
      <c r="H100">
        <f t="shared" si="9"/>
        <v>261.25099680830567</v>
      </c>
      <c r="I100">
        <f>Parametri!$D$8</f>
        <v>0.11547005383792516</v>
      </c>
      <c r="K100">
        <f t="shared" si="10"/>
        <v>-905</v>
      </c>
    </row>
    <row r="101" spans="1:11" x14ac:dyDescent="0.3">
      <c r="A101" s="2">
        <f t="shared" si="11"/>
        <v>600</v>
      </c>
      <c r="B101">
        <v>910</v>
      </c>
      <c r="D101">
        <f t="shared" si="8"/>
        <v>910</v>
      </c>
      <c r="E101">
        <f>MAX(Parametri!$D$8, ABS(B101-C101)/(2*SQRT(3)))</f>
        <v>262.69437248127974</v>
      </c>
      <c r="F101">
        <f>(A101-Parametri!$A$11)+Parametri!$A$2+(Parametri!$A$5/2)</f>
        <v>581.5</v>
      </c>
      <c r="G101" s="3">
        <f>(D101-Parametri!$A$8)-(A101-Parametri!$A$11)+Parametri!$A$2</f>
        <v>308</v>
      </c>
      <c r="H101">
        <f t="shared" si="9"/>
        <v>262.69437248127974</v>
      </c>
      <c r="I101">
        <f>Parametri!$D$8</f>
        <v>0.11547005383792516</v>
      </c>
      <c r="K101">
        <f t="shared" si="10"/>
        <v>-910</v>
      </c>
    </row>
    <row r="102" spans="1:11" x14ac:dyDescent="0.3">
      <c r="A102" s="2">
        <f>A101+20</f>
        <v>620</v>
      </c>
      <c r="B102">
        <v>925</v>
      </c>
      <c r="D102">
        <f t="shared" si="8"/>
        <v>925</v>
      </c>
      <c r="E102">
        <f>MAX(Parametri!$D$8, ABS(B102-C102)/(2*SQRT(3)))</f>
        <v>267.02449950020196</v>
      </c>
      <c r="F102">
        <f>(A102-Parametri!$A$11)+Parametri!$A$2+(Parametri!$A$5/2)</f>
        <v>601.5</v>
      </c>
      <c r="G102" s="3">
        <f>(D102-Parametri!$A$8)-(A102-Parametri!$A$11)+Parametri!$A$2</f>
        <v>303</v>
      </c>
      <c r="H102">
        <f t="shared" si="9"/>
        <v>267.02449950020196</v>
      </c>
      <c r="I102">
        <f>Parametri!$D$8</f>
        <v>0.11547005383792516</v>
      </c>
      <c r="K102">
        <f t="shared" si="10"/>
        <v>-925</v>
      </c>
    </row>
    <row r="103" spans="1:11" x14ac:dyDescent="0.3">
      <c r="A103" s="2">
        <f t="shared" ref="A103:A105" si="12">A102+20</f>
        <v>640</v>
      </c>
      <c r="B103">
        <v>939</v>
      </c>
      <c r="D103">
        <f t="shared" si="8"/>
        <v>939</v>
      </c>
      <c r="E103">
        <f>MAX(Parametri!$D$8, ABS(B103-C103)/(2*SQRT(3)))</f>
        <v>271.06595138452928</v>
      </c>
      <c r="F103">
        <f>(A103-Parametri!$A$11)+Parametri!$A$2+(Parametri!$A$5/2)</f>
        <v>621.5</v>
      </c>
      <c r="G103" s="3">
        <f>(D103-Parametri!$A$8)-(A103-Parametri!$A$11)+Parametri!$A$2</f>
        <v>297</v>
      </c>
      <c r="H103">
        <f t="shared" si="9"/>
        <v>271.06595138452928</v>
      </c>
      <c r="I103">
        <f>Parametri!$D$8</f>
        <v>0.11547005383792516</v>
      </c>
      <c r="K103">
        <f t="shared" si="10"/>
        <v>-939</v>
      </c>
    </row>
    <row r="104" spans="1:11" x14ac:dyDescent="0.3">
      <c r="A104" s="2">
        <f t="shared" si="12"/>
        <v>660</v>
      </c>
      <c r="B104">
        <v>958</v>
      </c>
      <c r="D104">
        <f t="shared" si="8"/>
        <v>958</v>
      </c>
      <c r="E104">
        <f>MAX(Parametri!$D$8, ABS(B104-C104)/(2*SQRT(3)))</f>
        <v>276.55077894183074</v>
      </c>
      <c r="F104">
        <f>(A104-Parametri!$A$11)+Parametri!$A$2+(Parametri!$A$5/2)</f>
        <v>641.5</v>
      </c>
      <c r="G104" s="3">
        <f>(D104-Parametri!$A$8)-(A104-Parametri!$A$11)+Parametri!$A$2</f>
        <v>296</v>
      </c>
      <c r="H104">
        <f t="shared" si="9"/>
        <v>276.55077894183074</v>
      </c>
      <c r="I104">
        <f>Parametri!$D$8</f>
        <v>0.11547005383792516</v>
      </c>
      <c r="K104">
        <f t="shared" si="10"/>
        <v>-958</v>
      </c>
    </row>
    <row r="105" spans="1:11" x14ac:dyDescent="0.3">
      <c r="A105" s="2">
        <f t="shared" si="12"/>
        <v>680</v>
      </c>
      <c r="B105">
        <v>972</v>
      </c>
      <c r="D105">
        <f t="shared" si="8"/>
        <v>972</v>
      </c>
      <c r="E105">
        <f>MAX(Parametri!$D$8, ABS(B105-C105)/(2*SQRT(3)))</f>
        <v>280.59223082615813</v>
      </c>
      <c r="F105">
        <f>(A105-Parametri!$A$11)+Parametri!$A$2+(Parametri!$A$5/2)</f>
        <v>661.5</v>
      </c>
      <c r="G105" s="3">
        <f>(D105-Parametri!$A$8)-(A105-Parametri!$A$11)+Parametri!$A$2</f>
        <v>290</v>
      </c>
      <c r="H105">
        <f t="shared" si="9"/>
        <v>280.59223082615813</v>
      </c>
      <c r="I105">
        <f>Parametri!$D$8</f>
        <v>0.11547005383792516</v>
      </c>
      <c r="K105">
        <f t="shared" si="10"/>
        <v>-972</v>
      </c>
    </row>
    <row r="106" spans="1:11" x14ac:dyDescent="0.3">
      <c r="A106" s="2">
        <f>A105+20</f>
        <v>700</v>
      </c>
      <c r="B106">
        <v>990</v>
      </c>
      <c r="D106">
        <f t="shared" si="8"/>
        <v>990</v>
      </c>
      <c r="E106">
        <f>MAX(Parametri!$D$8, ABS(B106-C106)/(2*SQRT(3)))</f>
        <v>285.78838324886476</v>
      </c>
      <c r="F106">
        <f>(A106-Parametri!$A$11)+Parametri!$A$2+(Parametri!$A$5/2)</f>
        <v>681.5</v>
      </c>
      <c r="G106" s="3">
        <f>(D106-Parametri!$A$8)-(A106-Parametri!$A$11)+Parametri!$A$2</f>
        <v>288</v>
      </c>
      <c r="H106">
        <f t="shared" si="9"/>
        <v>285.78838324886476</v>
      </c>
      <c r="I106">
        <f>Parametri!$D$8</f>
        <v>0.11547005383792516</v>
      </c>
      <c r="K106">
        <f t="shared" si="10"/>
        <v>-990</v>
      </c>
    </row>
    <row r="107" spans="1:11" x14ac:dyDescent="0.3">
      <c r="A107" s="2">
        <f>A106+50</f>
        <v>750</v>
      </c>
      <c r="B107">
        <v>1030</v>
      </c>
      <c r="D107">
        <f t="shared" si="8"/>
        <v>1030</v>
      </c>
      <c r="E107">
        <f>MAX(Parametri!$D$8, ABS(B107-C107)/(2*SQRT(3)))</f>
        <v>297.33538863265727</v>
      </c>
      <c r="F107">
        <f>(A107-Parametri!$A$11)+Parametri!$A$2+(Parametri!$A$5/2)</f>
        <v>731.5</v>
      </c>
      <c r="G107" s="3">
        <f>(D107-Parametri!$A$8)-(A107-Parametri!$A$11)+Parametri!$A$2</f>
        <v>278</v>
      </c>
      <c r="H107">
        <f t="shared" si="9"/>
        <v>297.33538863265727</v>
      </c>
      <c r="I107">
        <f>Parametri!$D$8</f>
        <v>0.11547005383792516</v>
      </c>
      <c r="K107">
        <f t="shared" si="10"/>
        <v>-1030</v>
      </c>
    </row>
    <row r="108" spans="1:11" x14ac:dyDescent="0.3">
      <c r="A108" s="2">
        <f t="shared" ref="A108:A110" si="13">A107+50</f>
        <v>800</v>
      </c>
      <c r="B108">
        <v>1073</v>
      </c>
      <c r="D108">
        <f t="shared" si="8"/>
        <v>1073</v>
      </c>
      <c r="E108">
        <f>MAX(Parametri!$D$8, ABS(B108-C108)/(2*SQRT(3)))</f>
        <v>309.74841942023426</v>
      </c>
      <c r="F108">
        <f>(A108-Parametri!$A$11)+Parametri!$A$2+(Parametri!$A$5/2)</f>
        <v>781.5</v>
      </c>
      <c r="G108" s="3">
        <f>(D108-Parametri!$A$8)-(A108-Parametri!$A$11)+Parametri!$A$2</f>
        <v>271</v>
      </c>
      <c r="H108">
        <f t="shared" si="9"/>
        <v>309.74841942023426</v>
      </c>
      <c r="I108">
        <f>Parametri!$D$8</f>
        <v>0.11547005383792516</v>
      </c>
      <c r="K108">
        <f t="shared" si="10"/>
        <v>-1073</v>
      </c>
    </row>
    <row r="109" spans="1:11" x14ac:dyDescent="0.3">
      <c r="A109" s="2">
        <f>A108+50</f>
        <v>850</v>
      </c>
      <c r="B109">
        <v>1118</v>
      </c>
      <c r="D109">
        <f t="shared" si="8"/>
        <v>1118</v>
      </c>
      <c r="E109">
        <f>MAX(Parametri!$D$8, ABS(B109-C109)/(2*SQRT(3)))</f>
        <v>322.73880047700084</v>
      </c>
      <c r="F109">
        <f>(A109-Parametri!$A$11)+Parametri!$A$2+(Parametri!$A$5/2)</f>
        <v>831.5</v>
      </c>
      <c r="G109" s="3">
        <f>(D109-Parametri!$A$8)-(A109-Parametri!$A$11)+Parametri!$A$2</f>
        <v>266</v>
      </c>
      <c r="H109">
        <f t="shared" si="9"/>
        <v>322.73880047700084</v>
      </c>
      <c r="I109">
        <f>Parametri!$D$8</f>
        <v>0.11547005383792516</v>
      </c>
      <c r="K109">
        <f t="shared" si="10"/>
        <v>-1118</v>
      </c>
    </row>
    <row r="110" spans="1:11" x14ac:dyDescent="0.3">
      <c r="A110" s="2">
        <f t="shared" si="13"/>
        <v>900</v>
      </c>
      <c r="B110">
        <v>1164</v>
      </c>
      <c r="D110">
        <f t="shared" si="8"/>
        <v>1164</v>
      </c>
      <c r="E110">
        <f>MAX(Parametri!$D$8, ABS(B110-C110)/(2*SQRT(3)))</f>
        <v>336.01785666836224</v>
      </c>
      <c r="F110">
        <f>(A110-Parametri!$A$11)+Parametri!$A$2+(Parametri!$A$5/2)</f>
        <v>881.5</v>
      </c>
      <c r="G110" s="3">
        <f>(D110-Parametri!$A$8)-(A110-Parametri!$A$11)+Parametri!$A$2</f>
        <v>262</v>
      </c>
      <c r="H110">
        <f t="shared" si="9"/>
        <v>336.01785666836224</v>
      </c>
      <c r="I110">
        <f>Parametri!$D$8</f>
        <v>0.11547005383792516</v>
      </c>
      <c r="K110">
        <f t="shared" si="10"/>
        <v>-1164</v>
      </c>
    </row>
    <row r="111" spans="1:11" x14ac:dyDescent="0.3">
      <c r="A111" s="2">
        <f>A110+100</f>
        <v>1000</v>
      </c>
      <c r="B111">
        <v>1255</v>
      </c>
      <c r="D111">
        <f t="shared" si="8"/>
        <v>1255</v>
      </c>
      <c r="E111">
        <f>MAX(Parametri!$D$8, ABS(B111-C111)/(2*SQRT(3)))</f>
        <v>362.28729391649017</v>
      </c>
      <c r="F111">
        <f>(A111-Parametri!$A$11)+Parametri!$A$2+(Parametri!$A$5/2)</f>
        <v>981.5</v>
      </c>
      <c r="G111" s="3">
        <f>(D111-Parametri!$A$8)-(A111-Parametri!$A$11)+Parametri!$A$2</f>
        <v>253</v>
      </c>
      <c r="H111">
        <f t="shared" si="9"/>
        <v>362.28729391649017</v>
      </c>
      <c r="I111">
        <f>Parametri!$D$8</f>
        <v>0.11547005383792516</v>
      </c>
      <c r="K111">
        <f t="shared" si="10"/>
        <v>-1255</v>
      </c>
    </row>
    <row r="112" spans="1:11" x14ac:dyDescent="0.3">
      <c r="A112" s="2">
        <f t="shared" ref="A112:A116" si="14">A111+100</f>
        <v>1100</v>
      </c>
      <c r="B112">
        <v>1349</v>
      </c>
      <c r="D112">
        <f t="shared" si="8"/>
        <v>1349</v>
      </c>
      <c r="E112">
        <f>MAX(Parametri!$D$8, ABS(B112-C112)/(2*SQRT(3)))</f>
        <v>389.42275656840258</v>
      </c>
      <c r="F112">
        <f>(A112-Parametri!$A$11)+Parametri!$A$2+(Parametri!$A$5/2)</f>
        <v>1081.5</v>
      </c>
      <c r="G112" s="3">
        <f>(D112-Parametri!$A$8)-(A112-Parametri!$A$11)+Parametri!$A$2</f>
        <v>247</v>
      </c>
      <c r="H112">
        <f t="shared" si="9"/>
        <v>389.42275656840258</v>
      </c>
      <c r="I112">
        <f>Parametri!$D$8</f>
        <v>0.11547005383792516</v>
      </c>
      <c r="K112">
        <f t="shared" si="10"/>
        <v>-1349</v>
      </c>
    </row>
    <row r="113" spans="1:11" x14ac:dyDescent="0.3">
      <c r="A113" s="2">
        <f t="shared" si="14"/>
        <v>1200</v>
      </c>
      <c r="B113">
        <v>1445</v>
      </c>
      <c r="D113">
        <f t="shared" si="8"/>
        <v>1445</v>
      </c>
      <c r="E113">
        <f>MAX(Parametri!$D$8, ABS(B113-C113)/(2*SQRT(3)))</f>
        <v>417.13556948950463</v>
      </c>
      <c r="F113">
        <f>(A113-Parametri!$A$11)+Parametri!$A$2+(Parametri!$A$5/2)</f>
        <v>1181.5</v>
      </c>
      <c r="G113" s="3">
        <f>(D113-Parametri!$A$8)-(A113-Parametri!$A$11)+Parametri!$A$2</f>
        <v>243</v>
      </c>
      <c r="H113">
        <f t="shared" si="9"/>
        <v>417.13556948950463</v>
      </c>
      <c r="I113">
        <f>Parametri!$D$8</f>
        <v>0.11547005383792516</v>
      </c>
      <c r="K113">
        <f t="shared" si="10"/>
        <v>-1445</v>
      </c>
    </row>
    <row r="114" spans="1:11" x14ac:dyDescent="0.3">
      <c r="A114" s="2">
        <f>A113+100</f>
        <v>1300</v>
      </c>
      <c r="B114">
        <v>1542</v>
      </c>
      <c r="D114">
        <f t="shared" si="8"/>
        <v>1542</v>
      </c>
      <c r="E114">
        <f>MAX(Parametri!$D$8, ABS(B114-C114)/(2*SQRT(3)))</f>
        <v>445.13705754520151</v>
      </c>
      <c r="F114">
        <f>(A114-Parametri!$A$11)+Parametri!$A$2+(Parametri!$A$5/2)</f>
        <v>1281.5</v>
      </c>
      <c r="G114" s="3">
        <f>(D114-Parametri!$A$8)-(A114-Parametri!$A$11)+Parametri!$A$2</f>
        <v>240</v>
      </c>
      <c r="H114">
        <f t="shared" si="9"/>
        <v>445.13705754520151</v>
      </c>
      <c r="I114">
        <f>Parametri!$D$8</f>
        <v>0.11547005383792516</v>
      </c>
      <c r="K114">
        <f t="shared" si="10"/>
        <v>-1542</v>
      </c>
    </row>
    <row r="115" spans="1:11" x14ac:dyDescent="0.3">
      <c r="A115" s="2">
        <f t="shared" si="14"/>
        <v>1400</v>
      </c>
      <c r="B115">
        <v>1638</v>
      </c>
      <c r="D115">
        <f t="shared" si="8"/>
        <v>1638</v>
      </c>
      <c r="E115">
        <f>MAX(Parametri!$D$8, ABS(B115-C115)/(2*SQRT(3)))</f>
        <v>472.84987046630351</v>
      </c>
      <c r="F115">
        <f>(A115-Parametri!$A$11)+Parametri!$A$2+(Parametri!$A$5/2)</f>
        <v>1381.5</v>
      </c>
      <c r="G115" s="3">
        <f>(D115-Parametri!$A$8)-(A115-Parametri!$A$11)+Parametri!$A$2</f>
        <v>236</v>
      </c>
      <c r="H115">
        <f t="shared" si="9"/>
        <v>472.84987046630351</v>
      </c>
      <c r="I115">
        <f>Parametri!$D$8</f>
        <v>0.11547005383792516</v>
      </c>
      <c r="K115">
        <f t="shared" si="10"/>
        <v>-1638</v>
      </c>
    </row>
    <row r="116" spans="1:11" x14ac:dyDescent="0.3">
      <c r="A116" s="2">
        <f t="shared" si="14"/>
        <v>1500</v>
      </c>
      <c r="B116">
        <v>1736</v>
      </c>
      <c r="D116">
        <f t="shared" si="8"/>
        <v>1736</v>
      </c>
      <c r="E116">
        <f>MAX(Parametri!$D$8, ABS(B116-C116)/(2*SQRT(3)))</f>
        <v>501.14003365659516</v>
      </c>
      <c r="F116">
        <f>(A116-Parametri!$A$11)+Parametri!$A$2+(Parametri!$A$5/2)</f>
        <v>1481.5</v>
      </c>
      <c r="G116" s="3">
        <f>(D116-Parametri!$A$8)-(A116-Parametri!$A$11)+Parametri!$A$2</f>
        <v>234</v>
      </c>
      <c r="H116">
        <f t="shared" si="9"/>
        <v>501.14003365659516</v>
      </c>
      <c r="I116">
        <f>Parametri!$D$8</f>
        <v>0.11547005383792516</v>
      </c>
      <c r="K116">
        <f t="shared" si="10"/>
        <v>-1736</v>
      </c>
    </row>
    <row r="117" spans="1:11" x14ac:dyDescent="0.3">
      <c r="A117" s="2">
        <v>1650</v>
      </c>
      <c r="B117">
        <v>1882</v>
      </c>
      <c r="D117">
        <f t="shared" si="8"/>
        <v>1882</v>
      </c>
      <c r="E117">
        <f>MAX(Parametri!$D$8, ABS(B117-C117)/(2*SQRT(3)))</f>
        <v>543.28660330743787</v>
      </c>
      <c r="F117">
        <f>(A117-Parametri!$A$11)+Parametri!$A$2+(Parametri!$A$5/2)</f>
        <v>1631.5</v>
      </c>
      <c r="G117" s="3">
        <f>(D117-Parametri!$A$8)-(A117-Parametri!$A$11)+Parametri!$A$2</f>
        <v>230</v>
      </c>
      <c r="H117">
        <f t="shared" si="9"/>
        <v>543.28660330743787</v>
      </c>
      <c r="I117">
        <f>Parametri!$D$8</f>
        <v>0.11547005383792516</v>
      </c>
      <c r="K117">
        <f t="shared" si="10"/>
        <v>-1882</v>
      </c>
    </row>
  </sheetData>
  <pageMargins left="0.7" right="0.7" top="0.75" bottom="0.75" header="0.3" footer="0.3"/>
  <ignoredErrors>
    <ignoredError sqref="D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FF1A-0AFF-4D5D-8003-93DAC2E72B22}">
  <dimension ref="A1:J130"/>
  <sheetViews>
    <sheetView topLeftCell="A23" zoomScale="62" workbookViewId="0">
      <selection activeCell="H2" sqref="H2"/>
    </sheetView>
  </sheetViews>
  <sheetFormatPr defaultRowHeight="14.4" x14ac:dyDescent="0.3"/>
  <sheetData>
    <row r="1" spans="1:10" x14ac:dyDescent="0.3">
      <c r="A1" t="s">
        <v>12</v>
      </c>
      <c r="B1" t="s">
        <v>21</v>
      </c>
      <c r="C1" t="s">
        <v>20</v>
      </c>
      <c r="D1" t="s">
        <v>22</v>
      </c>
      <c r="E1" t="s">
        <v>15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s="2">
        <v>270</v>
      </c>
      <c r="D2">
        <f>B2+2*E2</f>
        <v>3950</v>
      </c>
      <c r="E2" s="3">
        <v>1975</v>
      </c>
      <c r="F2">
        <f>IF(C2=0, Parametri!$D$8, ABS(B2-C2)/(2*SQRT(3)))</f>
        <v>0.11547005383792516</v>
      </c>
      <c r="G2">
        <f>(A2-335)+135.8+(Parametri!$A$5/2)</f>
        <v>79.300000000000011</v>
      </c>
      <c r="H2" s="3">
        <f>(E2-192)-('Dati (2)'!A2-Parametri!$A$11)+Parametri!$A$2</f>
        <v>1748</v>
      </c>
      <c r="I2">
        <f>F2</f>
        <v>0.11547005383792516</v>
      </c>
      <c r="J2">
        <f>Parametri!$D$8</f>
        <v>0.11547005383792516</v>
      </c>
    </row>
    <row r="3" spans="1:10" x14ac:dyDescent="0.3">
      <c r="A3" s="2">
        <f t="shared" ref="A3:A47" si="0">A2+1</f>
        <v>271</v>
      </c>
      <c r="D3">
        <f t="shared" ref="D3:D66" si="1">B3+2*E3</f>
        <v>3950</v>
      </c>
      <c r="E3" s="3">
        <v>1975</v>
      </c>
      <c r="F3">
        <f>IF(C3=0, Parametri!$D$8, ABS(B3-C3)/(2*SQRT(3)))</f>
        <v>0.11547005383792516</v>
      </c>
      <c r="G3">
        <f>(A3-335)+135.8+(Parametri!$A$5/2)</f>
        <v>80.300000000000011</v>
      </c>
      <c r="H3" s="3">
        <f>(E3-192)-('Dati (2)'!A3-Parametri!$A$11)+Parametri!$A$2</f>
        <v>1747</v>
      </c>
      <c r="I3">
        <f t="shared" ref="I3:I66" si="2">F3</f>
        <v>0.11547005383792516</v>
      </c>
      <c r="J3">
        <f>Parametri!$D$8</f>
        <v>0.11547005383792516</v>
      </c>
    </row>
    <row r="4" spans="1:10" x14ac:dyDescent="0.3">
      <c r="A4" s="2">
        <f t="shared" si="0"/>
        <v>272</v>
      </c>
      <c r="D4">
        <f t="shared" si="1"/>
        <v>3824</v>
      </c>
      <c r="E4" s="3">
        <v>1912</v>
      </c>
      <c r="F4">
        <f>IF(C4=0, Parametri!$D$8, ABS(B4-C4)/(2*SQRT(3)))</f>
        <v>0.11547005383792516</v>
      </c>
      <c r="G4">
        <f>(A4-335)+135.8+(Parametri!$A$5/2)</f>
        <v>81.300000000000011</v>
      </c>
      <c r="H4" s="3">
        <f>(E4-192)-('Dati (2)'!A4-Parametri!$A$11)+Parametri!$A$2</f>
        <v>1683</v>
      </c>
      <c r="I4">
        <f t="shared" si="2"/>
        <v>0.11547005383792516</v>
      </c>
      <c r="J4">
        <f>Parametri!$D$8</f>
        <v>0.11547005383792516</v>
      </c>
    </row>
    <row r="5" spans="1:10" x14ac:dyDescent="0.3">
      <c r="A5" s="2">
        <f t="shared" si="0"/>
        <v>273</v>
      </c>
      <c r="D5">
        <f t="shared" si="1"/>
        <v>3786</v>
      </c>
      <c r="E5" s="3">
        <v>1893</v>
      </c>
      <c r="F5">
        <f>IF(C5=0, Parametri!$D$8, ABS(B5-C5)/(2*SQRT(3)))</f>
        <v>0.11547005383792516</v>
      </c>
      <c r="G5">
        <f>(A5-335)+135.8+(Parametri!$A$5/2)</f>
        <v>82.300000000000011</v>
      </c>
      <c r="H5" s="3">
        <f>(E5-192)-('Dati (2)'!A5-Parametri!$A$11)+Parametri!$A$2</f>
        <v>1663</v>
      </c>
      <c r="I5">
        <f t="shared" si="2"/>
        <v>0.11547005383792516</v>
      </c>
      <c r="J5">
        <f>Parametri!$D$8</f>
        <v>0.11547005383792516</v>
      </c>
    </row>
    <row r="6" spans="1:10" x14ac:dyDescent="0.3">
      <c r="A6" s="2">
        <f t="shared" si="0"/>
        <v>274</v>
      </c>
      <c r="D6">
        <f t="shared" si="1"/>
        <v>3634</v>
      </c>
      <c r="E6" s="3">
        <v>1817</v>
      </c>
      <c r="F6">
        <f>IF(C6=0, Parametri!$D$8, ABS(B6-C6)/(2*SQRT(3)))</f>
        <v>0.11547005383792516</v>
      </c>
      <c r="G6">
        <f>(A6-335)+135.8+(Parametri!$A$5/2)</f>
        <v>83.300000000000011</v>
      </c>
      <c r="H6" s="3">
        <f>(E6-192)-('Dati (2)'!A6-Parametri!$A$11)+Parametri!$A$2</f>
        <v>1586</v>
      </c>
      <c r="I6">
        <f t="shared" si="2"/>
        <v>0.11547005383792516</v>
      </c>
      <c r="J6">
        <f>Parametri!$D$8</f>
        <v>0.11547005383792516</v>
      </c>
    </row>
    <row r="7" spans="1:10" x14ac:dyDescent="0.3">
      <c r="A7" s="2">
        <f t="shared" si="0"/>
        <v>275</v>
      </c>
      <c r="D7">
        <f t="shared" si="1"/>
        <v>3566</v>
      </c>
      <c r="E7" s="3">
        <v>1783</v>
      </c>
      <c r="F7">
        <f>IF(C7=0, Parametri!$D$8, ABS(B7-C7)/(2*SQRT(3)))</f>
        <v>0.11547005383792516</v>
      </c>
      <c r="G7">
        <f>(A7-335)+135.8+(Parametri!$A$5/2)</f>
        <v>84.300000000000011</v>
      </c>
      <c r="H7" s="3">
        <f>(E7-192)-('Dati (2)'!A7-Parametri!$A$11)+Parametri!$A$2</f>
        <v>1551</v>
      </c>
      <c r="I7">
        <f t="shared" si="2"/>
        <v>0.11547005383792516</v>
      </c>
      <c r="J7">
        <f>Parametri!$D$8</f>
        <v>0.11547005383792516</v>
      </c>
    </row>
    <row r="8" spans="1:10" x14ac:dyDescent="0.3">
      <c r="A8" s="2">
        <f t="shared" si="0"/>
        <v>276</v>
      </c>
      <c r="D8">
        <f t="shared" si="1"/>
        <v>3447</v>
      </c>
      <c r="E8" s="3">
        <v>1723.5</v>
      </c>
      <c r="F8">
        <f>IF(C8=0, Parametri!$D$8, ABS(B8-C8)/(2*SQRT(3)))</f>
        <v>0.11547005383792516</v>
      </c>
      <c r="G8">
        <f>(A8-335)+135.8+(Parametri!$A$5/2)</f>
        <v>85.300000000000011</v>
      </c>
      <c r="H8" s="3">
        <f>(E8-192)-('Dati (2)'!A8-Parametri!$A$11)+Parametri!$A$2</f>
        <v>1490.5</v>
      </c>
      <c r="I8">
        <f t="shared" si="2"/>
        <v>0.11547005383792516</v>
      </c>
      <c r="J8">
        <f>Parametri!$D$8</f>
        <v>0.11547005383792516</v>
      </c>
    </row>
    <row r="9" spans="1:10" x14ac:dyDescent="0.3">
      <c r="A9" s="2">
        <f t="shared" si="0"/>
        <v>277</v>
      </c>
      <c r="D9">
        <f t="shared" si="1"/>
        <v>3352</v>
      </c>
      <c r="E9" s="3">
        <v>1676</v>
      </c>
      <c r="F9">
        <f>IF(C9=0, Parametri!$D$8, ABS(B9-C9)/(2*SQRT(3)))</f>
        <v>0.11547005383792516</v>
      </c>
      <c r="G9">
        <f>(A9-335)+135.8+(Parametri!$A$5/2)</f>
        <v>86.300000000000011</v>
      </c>
      <c r="H9" s="3">
        <f>(E9-192)-('Dati (2)'!A9-Parametri!$A$11)+Parametri!$A$2</f>
        <v>1442</v>
      </c>
      <c r="I9">
        <f t="shared" si="2"/>
        <v>0.11547005383792516</v>
      </c>
      <c r="J9">
        <f>Parametri!$D$8</f>
        <v>0.11547005383792516</v>
      </c>
    </row>
    <row r="10" spans="1:10" x14ac:dyDescent="0.3">
      <c r="A10" s="2">
        <f t="shared" si="0"/>
        <v>278</v>
      </c>
      <c r="D10">
        <f t="shared" si="1"/>
        <v>3320</v>
      </c>
      <c r="E10" s="3">
        <v>1660</v>
      </c>
      <c r="F10">
        <f>IF(C10=0, Parametri!$D$8, ABS(B10-C10)/(2*SQRT(3)))</f>
        <v>0.11547005383792516</v>
      </c>
      <c r="G10">
        <f>(A10-335)+135.8+(Parametri!$A$5/2)</f>
        <v>87.300000000000011</v>
      </c>
      <c r="H10" s="3">
        <f>(E10-192)-('Dati (2)'!A10-Parametri!$A$11)+Parametri!$A$2</f>
        <v>1425</v>
      </c>
      <c r="I10">
        <f t="shared" si="2"/>
        <v>0.11547005383792516</v>
      </c>
      <c r="J10">
        <f>Parametri!$D$8</f>
        <v>0.11547005383792516</v>
      </c>
    </row>
    <row r="11" spans="1:10" x14ac:dyDescent="0.3">
      <c r="A11" s="2">
        <f t="shared" si="0"/>
        <v>279</v>
      </c>
      <c r="D11">
        <f t="shared" si="1"/>
        <v>3231</v>
      </c>
      <c r="E11" s="3">
        <v>1615.5</v>
      </c>
      <c r="F11">
        <f>IF(C11=0, Parametri!$D$8, ABS(B11-C11)/(2*SQRT(3)))</f>
        <v>0.11547005383792516</v>
      </c>
      <c r="G11">
        <f>(A11-335)+135.8+(Parametri!$A$5/2)</f>
        <v>88.300000000000011</v>
      </c>
      <c r="H11" s="3">
        <f>(E11-192)-('Dati (2)'!A11-Parametri!$A$11)+Parametri!$A$2</f>
        <v>1379.5</v>
      </c>
      <c r="I11">
        <f t="shared" si="2"/>
        <v>0.11547005383792516</v>
      </c>
      <c r="J11">
        <f>Parametri!$D$8</f>
        <v>0.11547005383792516</v>
      </c>
    </row>
    <row r="12" spans="1:10" x14ac:dyDescent="0.3">
      <c r="A12" s="2">
        <f t="shared" si="0"/>
        <v>280</v>
      </c>
      <c r="D12">
        <f t="shared" si="1"/>
        <v>3163</v>
      </c>
      <c r="E12" s="3">
        <v>1581.5</v>
      </c>
      <c r="F12">
        <f>IF(C12=0, Parametri!$D$8, ABS(B12-C12)/(2*SQRT(3)))</f>
        <v>0.11547005383792516</v>
      </c>
      <c r="G12">
        <f>(A12-335)+135.8+(Parametri!$A$5/2)</f>
        <v>89.300000000000011</v>
      </c>
      <c r="H12" s="3">
        <f>(E12-192)-('Dati (2)'!A12-Parametri!$A$11)+Parametri!$A$2</f>
        <v>1344.5</v>
      </c>
      <c r="I12">
        <f t="shared" si="2"/>
        <v>0.11547005383792516</v>
      </c>
      <c r="J12">
        <f>Parametri!$D$8</f>
        <v>0.11547005383792516</v>
      </c>
    </row>
    <row r="13" spans="1:10" x14ac:dyDescent="0.3">
      <c r="A13" s="2">
        <f t="shared" si="0"/>
        <v>281</v>
      </c>
      <c r="D13">
        <f t="shared" si="1"/>
        <v>3122</v>
      </c>
      <c r="E13" s="3">
        <v>1561</v>
      </c>
      <c r="F13">
        <f>IF(C13=0, Parametri!$D$8, ABS(B13-C13)/(2*SQRT(3)))</f>
        <v>0.11547005383792516</v>
      </c>
      <c r="G13">
        <f>(A13-335)+135.8+(Parametri!$A$5/2)</f>
        <v>90.300000000000011</v>
      </c>
      <c r="H13" s="3">
        <f>(E13-192)-('Dati (2)'!A13-Parametri!$A$11)+Parametri!$A$2</f>
        <v>1323</v>
      </c>
      <c r="I13">
        <f t="shared" si="2"/>
        <v>0.11547005383792516</v>
      </c>
      <c r="J13">
        <f>Parametri!$D$8</f>
        <v>0.11547005383792516</v>
      </c>
    </row>
    <row r="14" spans="1:10" x14ac:dyDescent="0.3">
      <c r="A14" s="2">
        <f t="shared" si="0"/>
        <v>282</v>
      </c>
      <c r="D14">
        <f t="shared" si="1"/>
        <v>3067</v>
      </c>
      <c r="E14" s="3">
        <v>1533.5</v>
      </c>
      <c r="F14">
        <f>IF(C14=0, Parametri!$D$8, ABS(B14-C14)/(2*SQRT(3)))</f>
        <v>0.11547005383792516</v>
      </c>
      <c r="G14">
        <f>(A14-335)+135.8+(Parametri!$A$5/2)</f>
        <v>91.300000000000011</v>
      </c>
      <c r="H14" s="3">
        <f>(E14-192)-('Dati (2)'!A14-Parametri!$A$11)+Parametri!$A$2</f>
        <v>1294.5</v>
      </c>
      <c r="I14">
        <f t="shared" si="2"/>
        <v>0.11547005383792516</v>
      </c>
      <c r="J14">
        <f>Parametri!$D$8</f>
        <v>0.11547005383792516</v>
      </c>
    </row>
    <row r="15" spans="1:10" x14ac:dyDescent="0.3">
      <c r="A15" s="2">
        <f t="shared" si="0"/>
        <v>283</v>
      </c>
      <c r="D15">
        <f t="shared" si="1"/>
        <v>3021</v>
      </c>
      <c r="E15" s="3">
        <v>1510.5</v>
      </c>
      <c r="F15">
        <f>IF(C15=0, Parametri!$D$8, ABS(B15-C15)/(2*SQRT(3)))</f>
        <v>0.11547005383792516</v>
      </c>
      <c r="G15">
        <f>(A15-335)+135.8+(Parametri!$A$5/2)</f>
        <v>92.300000000000011</v>
      </c>
      <c r="H15" s="3">
        <f>(E15-192)-('Dati (2)'!A15-Parametri!$A$11)+Parametri!$A$2</f>
        <v>1270.5</v>
      </c>
      <c r="I15">
        <f t="shared" si="2"/>
        <v>0.11547005383792516</v>
      </c>
      <c r="J15">
        <f>Parametri!$D$8</f>
        <v>0.11547005383792516</v>
      </c>
    </row>
    <row r="16" spans="1:10" x14ac:dyDescent="0.3">
      <c r="A16" s="2">
        <f t="shared" si="0"/>
        <v>284</v>
      </c>
      <c r="D16">
        <f t="shared" si="1"/>
        <v>2973</v>
      </c>
      <c r="E16" s="3">
        <v>1486.5</v>
      </c>
      <c r="F16">
        <f>IF(C16=0, Parametri!$D$8, ABS(B16-C16)/(2*SQRT(3)))</f>
        <v>0.11547005383792516</v>
      </c>
      <c r="G16">
        <f>(A16-335)+135.8+(Parametri!$A$5/2)</f>
        <v>93.300000000000011</v>
      </c>
      <c r="H16" s="3">
        <f>(E16-192)-('Dati (2)'!A16-Parametri!$A$11)+Parametri!$A$2</f>
        <v>1245.5</v>
      </c>
      <c r="I16">
        <f t="shared" si="2"/>
        <v>0.11547005383792516</v>
      </c>
      <c r="J16">
        <f>Parametri!$D$8</f>
        <v>0.11547005383792516</v>
      </c>
    </row>
    <row r="17" spans="1:10" x14ac:dyDescent="0.3">
      <c r="A17" s="2">
        <f t="shared" si="0"/>
        <v>285</v>
      </c>
      <c r="D17">
        <f t="shared" si="1"/>
        <v>2924</v>
      </c>
      <c r="E17" s="3">
        <v>1462</v>
      </c>
      <c r="F17">
        <f>IF(C17=0, Parametri!$D$8, ABS(B17-C17)/(2*SQRT(3)))</f>
        <v>0.11547005383792516</v>
      </c>
      <c r="G17">
        <f>(A17-335)+135.8+(Parametri!$A$5/2)</f>
        <v>94.300000000000011</v>
      </c>
      <c r="H17" s="3">
        <f>(E17-192)-('Dati (2)'!A17-Parametri!$A$11)+Parametri!$A$2</f>
        <v>1220</v>
      </c>
      <c r="I17">
        <f t="shared" si="2"/>
        <v>0.11547005383792516</v>
      </c>
      <c r="J17">
        <f>Parametri!$D$8</f>
        <v>0.11547005383792516</v>
      </c>
    </row>
    <row r="18" spans="1:10" x14ac:dyDescent="0.3">
      <c r="A18" s="2">
        <f t="shared" si="0"/>
        <v>286</v>
      </c>
      <c r="D18">
        <f t="shared" si="1"/>
        <v>2885</v>
      </c>
      <c r="E18" s="3">
        <v>1442.5</v>
      </c>
      <c r="F18">
        <f>IF(C18=0, Parametri!$D$8, ABS(B18-C18)/(2*SQRT(3)))</f>
        <v>0.11547005383792516</v>
      </c>
      <c r="G18">
        <f>(A18-335)+135.8+(Parametri!$A$5/2)</f>
        <v>95.300000000000011</v>
      </c>
      <c r="H18" s="3">
        <f>(E18-192)-('Dati (2)'!A18-Parametri!$A$11)+Parametri!$A$2</f>
        <v>1199.5</v>
      </c>
      <c r="I18">
        <f t="shared" si="2"/>
        <v>0.11547005383792516</v>
      </c>
      <c r="J18">
        <f>Parametri!$D$8</f>
        <v>0.11547005383792516</v>
      </c>
    </row>
    <row r="19" spans="1:10" x14ac:dyDescent="0.3">
      <c r="A19" s="2">
        <f t="shared" si="0"/>
        <v>287</v>
      </c>
      <c r="D19">
        <f t="shared" si="1"/>
        <v>2842</v>
      </c>
      <c r="E19" s="3">
        <v>1421</v>
      </c>
      <c r="F19">
        <f>IF(C19=0, Parametri!$D$8, ABS(B19-C19)/(2*SQRT(3)))</f>
        <v>0.11547005383792516</v>
      </c>
      <c r="G19">
        <f>(A19-335)+135.8+(Parametri!$A$5/2)</f>
        <v>96.300000000000011</v>
      </c>
      <c r="H19" s="3">
        <f>(E19-192)-('Dati (2)'!A19-Parametri!$A$11)+Parametri!$A$2</f>
        <v>1177</v>
      </c>
      <c r="I19">
        <f t="shared" si="2"/>
        <v>0.11547005383792516</v>
      </c>
      <c r="J19">
        <f>Parametri!$D$8</f>
        <v>0.11547005383792516</v>
      </c>
    </row>
    <row r="20" spans="1:10" x14ac:dyDescent="0.3">
      <c r="A20" s="2">
        <f t="shared" si="0"/>
        <v>288</v>
      </c>
      <c r="D20">
        <f t="shared" si="1"/>
        <v>2817</v>
      </c>
      <c r="E20" s="3">
        <v>1408.5</v>
      </c>
      <c r="F20">
        <f>IF(C20=0, Parametri!$D$8, ABS(B20-C20)/(2*SQRT(3)))</f>
        <v>0.11547005383792516</v>
      </c>
      <c r="G20">
        <f>(A20-335)+135.8+(Parametri!$A$5/2)</f>
        <v>97.300000000000011</v>
      </c>
      <c r="H20" s="3">
        <f>(E20-192)-('Dati (2)'!A20-Parametri!$A$11)+Parametri!$A$2</f>
        <v>1163.5</v>
      </c>
      <c r="I20">
        <f t="shared" si="2"/>
        <v>0.11547005383792516</v>
      </c>
      <c r="J20">
        <f>Parametri!$D$8</f>
        <v>0.11547005383792516</v>
      </c>
    </row>
    <row r="21" spans="1:10" x14ac:dyDescent="0.3">
      <c r="A21" s="2">
        <f t="shared" si="0"/>
        <v>289</v>
      </c>
      <c r="D21">
        <f t="shared" si="1"/>
        <v>2760</v>
      </c>
      <c r="E21" s="3">
        <v>1380</v>
      </c>
      <c r="F21">
        <f>IF(C21=0, Parametri!$D$8, ABS(B21-C21)/(2*SQRT(3)))</f>
        <v>0.11547005383792516</v>
      </c>
      <c r="G21">
        <f>(A21-335)+135.8+(Parametri!$A$5/2)</f>
        <v>98.300000000000011</v>
      </c>
      <c r="H21" s="3">
        <f>(E21-192)-('Dati (2)'!A21-Parametri!$A$11)+Parametri!$A$2</f>
        <v>1134</v>
      </c>
      <c r="I21">
        <f t="shared" si="2"/>
        <v>0.11547005383792516</v>
      </c>
      <c r="J21">
        <f>Parametri!$D$8</f>
        <v>0.11547005383792516</v>
      </c>
    </row>
    <row r="22" spans="1:10" x14ac:dyDescent="0.3">
      <c r="A22" s="2">
        <f t="shared" si="0"/>
        <v>290</v>
      </c>
      <c r="D22">
        <f t="shared" si="1"/>
        <v>2747</v>
      </c>
      <c r="E22" s="3">
        <v>1373.5</v>
      </c>
      <c r="F22">
        <f>IF(C22=0, Parametri!$D$8, ABS(B22-C22)/(2*SQRT(3)))</f>
        <v>0.11547005383792516</v>
      </c>
      <c r="G22">
        <f>(A22-335)+135.8+(Parametri!$A$5/2)</f>
        <v>99.300000000000011</v>
      </c>
      <c r="H22" s="3">
        <f>(E22-192)-('Dati (2)'!A22-Parametri!$A$11)+Parametri!$A$2</f>
        <v>1126.5</v>
      </c>
      <c r="I22">
        <f t="shared" si="2"/>
        <v>0.11547005383792516</v>
      </c>
      <c r="J22">
        <f>Parametri!$D$8</f>
        <v>0.11547005383792516</v>
      </c>
    </row>
    <row r="23" spans="1:10" x14ac:dyDescent="0.3">
      <c r="A23" s="2">
        <f t="shared" si="0"/>
        <v>291</v>
      </c>
      <c r="D23">
        <f t="shared" si="1"/>
        <v>2698</v>
      </c>
      <c r="E23" s="3">
        <v>1349</v>
      </c>
      <c r="F23">
        <f>IF(C23=0, Parametri!$D$8, ABS(B23-C23)/(2*SQRT(3)))</f>
        <v>0.11547005383792516</v>
      </c>
      <c r="G23">
        <f>(A23-335)+135.8+(Parametri!$A$5/2)</f>
        <v>100.30000000000001</v>
      </c>
      <c r="H23" s="3">
        <f>(E23-192)-('Dati (2)'!A23-Parametri!$A$11)+Parametri!$A$2</f>
        <v>1101</v>
      </c>
      <c r="I23">
        <f t="shared" si="2"/>
        <v>0.11547005383792516</v>
      </c>
      <c r="J23">
        <f>Parametri!$D$8</f>
        <v>0.11547005383792516</v>
      </c>
    </row>
    <row r="24" spans="1:10" x14ac:dyDescent="0.3">
      <c r="A24" s="2">
        <f t="shared" si="0"/>
        <v>292</v>
      </c>
      <c r="D24">
        <f t="shared" si="1"/>
        <v>2667</v>
      </c>
      <c r="E24" s="3">
        <v>1333.5</v>
      </c>
      <c r="F24">
        <f>IF(C24=0, Parametri!$D$8, ABS(B24-C24)/(2*SQRT(3)))</f>
        <v>0.11547005383792516</v>
      </c>
      <c r="G24">
        <f>(A24-335)+135.8+(Parametri!$A$5/2)</f>
        <v>101.30000000000001</v>
      </c>
      <c r="H24" s="3">
        <f>(E24-192)-('Dati (2)'!A24-Parametri!$A$11)+Parametri!$A$2</f>
        <v>1084.5</v>
      </c>
      <c r="I24">
        <f t="shared" si="2"/>
        <v>0.11547005383792516</v>
      </c>
      <c r="J24">
        <f>Parametri!$D$8</f>
        <v>0.11547005383792516</v>
      </c>
    </row>
    <row r="25" spans="1:10" x14ac:dyDescent="0.3">
      <c r="A25" s="2">
        <f t="shared" si="0"/>
        <v>293</v>
      </c>
      <c r="D25">
        <f t="shared" si="1"/>
        <v>2625</v>
      </c>
      <c r="E25" s="3">
        <v>1312.5</v>
      </c>
      <c r="F25">
        <f>IF(C25=0, Parametri!$D$8, ABS(B25-C25)/(2*SQRT(3)))</f>
        <v>0.11547005383792516</v>
      </c>
      <c r="G25">
        <f>(A25-335)+135.8+(Parametri!$A$5/2)</f>
        <v>102.30000000000001</v>
      </c>
      <c r="H25" s="3">
        <f>(E25-192)-('Dati (2)'!A25-Parametri!$A$11)+Parametri!$A$2</f>
        <v>1062.5</v>
      </c>
      <c r="I25">
        <f t="shared" si="2"/>
        <v>0.11547005383792516</v>
      </c>
      <c r="J25">
        <f>Parametri!$D$8</f>
        <v>0.11547005383792516</v>
      </c>
    </row>
    <row r="26" spans="1:10" x14ac:dyDescent="0.3">
      <c r="A26" s="2">
        <f t="shared" si="0"/>
        <v>294</v>
      </c>
      <c r="D26">
        <f t="shared" si="1"/>
        <v>2608</v>
      </c>
      <c r="E26" s="3">
        <v>1304</v>
      </c>
      <c r="F26">
        <f>IF(C26=0, Parametri!$D$8, ABS(B26-C26)/(2*SQRT(3)))</f>
        <v>0.11547005383792516</v>
      </c>
      <c r="G26">
        <f>(A26-335)+135.8+(Parametri!$A$5/2)</f>
        <v>103.30000000000001</v>
      </c>
      <c r="H26" s="3">
        <f>(E26-192)-('Dati (2)'!A26-Parametri!$A$11)+Parametri!$A$2</f>
        <v>1053</v>
      </c>
      <c r="I26">
        <f t="shared" si="2"/>
        <v>0.11547005383792516</v>
      </c>
      <c r="J26">
        <f>Parametri!$D$8</f>
        <v>0.11547005383792516</v>
      </c>
    </row>
    <row r="27" spans="1:10" x14ac:dyDescent="0.3">
      <c r="A27" s="2">
        <f t="shared" si="0"/>
        <v>295</v>
      </c>
      <c r="D27">
        <f t="shared" si="1"/>
        <v>2586</v>
      </c>
      <c r="E27" s="3">
        <v>1293</v>
      </c>
      <c r="F27">
        <f>IF(C27=0, Parametri!$D$8, ABS(B27-C27)/(2*SQRT(3)))</f>
        <v>0.11547005383792516</v>
      </c>
      <c r="G27">
        <f>(A27-335)+135.8+(Parametri!$A$5/2)</f>
        <v>104.30000000000001</v>
      </c>
      <c r="H27" s="3">
        <f>(E27-192)-('Dati (2)'!A27-Parametri!$A$11)+Parametri!$A$2</f>
        <v>1041</v>
      </c>
      <c r="I27">
        <f t="shared" si="2"/>
        <v>0.11547005383792516</v>
      </c>
      <c r="J27">
        <f>Parametri!$D$8</f>
        <v>0.11547005383792516</v>
      </c>
    </row>
    <row r="28" spans="1:10" x14ac:dyDescent="0.3">
      <c r="A28" s="2">
        <f t="shared" si="0"/>
        <v>296</v>
      </c>
      <c r="D28">
        <f t="shared" si="1"/>
        <v>2548</v>
      </c>
      <c r="E28" s="3">
        <v>1274</v>
      </c>
      <c r="F28">
        <f>IF(C28=0, Parametri!$D$8, ABS(B28-C28)/(2*SQRT(3)))</f>
        <v>0.11547005383792516</v>
      </c>
      <c r="G28">
        <f>(A28-335)+135.8+(Parametri!$A$5/2)</f>
        <v>105.30000000000001</v>
      </c>
      <c r="H28" s="3">
        <f>(E28-192)-('Dati (2)'!A28-Parametri!$A$11)+Parametri!$A$2</f>
        <v>1021</v>
      </c>
      <c r="I28">
        <f t="shared" si="2"/>
        <v>0.11547005383792516</v>
      </c>
      <c r="J28">
        <f>Parametri!$D$8</f>
        <v>0.11547005383792516</v>
      </c>
    </row>
    <row r="29" spans="1:10" x14ac:dyDescent="0.3">
      <c r="A29" s="2">
        <f t="shared" si="0"/>
        <v>297</v>
      </c>
      <c r="D29">
        <f t="shared" si="1"/>
        <v>2520</v>
      </c>
      <c r="E29" s="3">
        <v>1260</v>
      </c>
      <c r="F29">
        <f>IF(C29=0, Parametri!$D$8, ABS(B29-C29)/(2*SQRT(3)))</f>
        <v>0.11547005383792516</v>
      </c>
      <c r="G29">
        <f>(A29-335)+135.8+(Parametri!$A$5/2)</f>
        <v>106.30000000000001</v>
      </c>
      <c r="H29" s="3">
        <f>(E29-192)-('Dati (2)'!A29-Parametri!$A$11)+Parametri!$A$2</f>
        <v>1006</v>
      </c>
      <c r="I29">
        <f t="shared" si="2"/>
        <v>0.11547005383792516</v>
      </c>
      <c r="J29">
        <f>Parametri!$D$8</f>
        <v>0.11547005383792516</v>
      </c>
    </row>
    <row r="30" spans="1:10" x14ac:dyDescent="0.3">
      <c r="A30" s="2">
        <f t="shared" si="0"/>
        <v>298</v>
      </c>
      <c r="D30">
        <f t="shared" si="1"/>
        <v>2491</v>
      </c>
      <c r="E30" s="3">
        <v>1245.5</v>
      </c>
      <c r="F30">
        <f>IF(C30=0, Parametri!$D$8, ABS(B30-C30)/(2*SQRT(3)))</f>
        <v>0.11547005383792516</v>
      </c>
      <c r="G30">
        <f>(A30-335)+135.8+(Parametri!$A$5/2)</f>
        <v>107.30000000000001</v>
      </c>
      <c r="H30" s="3">
        <f>(E30-192)-('Dati (2)'!A30-Parametri!$A$11)+Parametri!$A$2</f>
        <v>990.5</v>
      </c>
      <c r="I30">
        <f t="shared" si="2"/>
        <v>0.11547005383792516</v>
      </c>
      <c r="J30">
        <f>Parametri!$D$8</f>
        <v>0.11547005383792516</v>
      </c>
    </row>
    <row r="31" spans="1:10" x14ac:dyDescent="0.3">
      <c r="A31" s="2">
        <f t="shared" si="0"/>
        <v>299</v>
      </c>
      <c r="D31">
        <f t="shared" si="1"/>
        <v>2464</v>
      </c>
      <c r="E31" s="3">
        <v>1232</v>
      </c>
      <c r="F31">
        <f>IF(C31=0, Parametri!$D$8, ABS(B31-C31)/(2*SQRT(3)))</f>
        <v>0.11547005383792516</v>
      </c>
      <c r="G31">
        <f>(A31-335)+135.8+(Parametri!$A$5/2)</f>
        <v>108.30000000000001</v>
      </c>
      <c r="H31" s="3">
        <f>(E31-192)-('Dati (2)'!A31-Parametri!$A$11)+Parametri!$A$2</f>
        <v>976</v>
      </c>
      <c r="I31">
        <f t="shared" si="2"/>
        <v>0.11547005383792516</v>
      </c>
      <c r="J31">
        <f>Parametri!$D$8</f>
        <v>0.11547005383792516</v>
      </c>
    </row>
    <row r="32" spans="1:10" x14ac:dyDescent="0.3">
      <c r="A32" s="2">
        <f t="shared" si="0"/>
        <v>300</v>
      </c>
      <c r="D32">
        <f t="shared" si="1"/>
        <v>2427</v>
      </c>
      <c r="E32" s="3">
        <v>1213.5</v>
      </c>
      <c r="F32">
        <f>IF(C32=0, Parametri!$D$8, ABS(B32-C32)/(2*SQRT(3)))</f>
        <v>0.11547005383792516</v>
      </c>
      <c r="G32">
        <f>(A32-335)+135.8+(Parametri!$A$5/2)</f>
        <v>109.30000000000001</v>
      </c>
      <c r="H32" s="3">
        <f>(E32-192)-('Dati (2)'!A32-Parametri!$A$11)+Parametri!$A$2</f>
        <v>956.5</v>
      </c>
      <c r="I32">
        <f t="shared" si="2"/>
        <v>0.11547005383792516</v>
      </c>
      <c r="J32">
        <f>Parametri!$D$8</f>
        <v>0.11547005383792516</v>
      </c>
    </row>
    <row r="33" spans="1:10" x14ac:dyDescent="0.3">
      <c r="A33" s="2">
        <f t="shared" si="0"/>
        <v>301</v>
      </c>
      <c r="D33">
        <f t="shared" si="1"/>
        <v>2419</v>
      </c>
      <c r="E33" s="3">
        <v>1209.5</v>
      </c>
      <c r="F33">
        <f>IF(C33=0, Parametri!$D$8, ABS(B33-C33)/(2*SQRT(3)))</f>
        <v>0.11547005383792516</v>
      </c>
      <c r="G33">
        <f>(A33-335)+135.8+(Parametri!$A$5/2)</f>
        <v>110.30000000000001</v>
      </c>
      <c r="H33" s="3">
        <f>(E33-192)-('Dati (2)'!A33-Parametri!$A$11)+Parametri!$A$2</f>
        <v>951.5</v>
      </c>
      <c r="I33">
        <f t="shared" si="2"/>
        <v>0.11547005383792516</v>
      </c>
      <c r="J33">
        <f>Parametri!$D$8</f>
        <v>0.11547005383792516</v>
      </c>
    </row>
    <row r="34" spans="1:10" x14ac:dyDescent="0.3">
      <c r="A34" s="2">
        <f t="shared" si="0"/>
        <v>302</v>
      </c>
      <c r="D34">
        <f t="shared" si="1"/>
        <v>2398</v>
      </c>
      <c r="E34" s="3">
        <v>1199</v>
      </c>
      <c r="F34">
        <f>IF(C34=0, Parametri!$D$8, ABS(B34-C34)/(2*SQRT(3)))</f>
        <v>0.11547005383792516</v>
      </c>
      <c r="G34">
        <f>(A34-335)+135.8+(Parametri!$A$5/2)</f>
        <v>111.30000000000001</v>
      </c>
      <c r="H34" s="3">
        <f>(E34-192)-('Dati (2)'!A34-Parametri!$A$11)+Parametri!$A$2</f>
        <v>940</v>
      </c>
      <c r="I34">
        <f t="shared" si="2"/>
        <v>0.11547005383792516</v>
      </c>
      <c r="J34">
        <f>Parametri!$D$8</f>
        <v>0.11547005383792516</v>
      </c>
    </row>
    <row r="35" spans="1:10" x14ac:dyDescent="0.3">
      <c r="A35" s="2">
        <f t="shared" si="0"/>
        <v>303</v>
      </c>
      <c r="D35">
        <f t="shared" si="1"/>
        <v>2376</v>
      </c>
      <c r="E35" s="3">
        <v>1188</v>
      </c>
      <c r="F35">
        <f>IF(C35=0, Parametri!$D$8, ABS(B35-C35)/(2*SQRT(3)))</f>
        <v>0.11547005383792516</v>
      </c>
      <c r="G35">
        <f>(A35-335)+135.8+(Parametri!$A$5/2)</f>
        <v>112.30000000000001</v>
      </c>
      <c r="H35" s="3">
        <f>(E35-192)-('Dati (2)'!A35-Parametri!$A$11)+Parametri!$A$2</f>
        <v>928</v>
      </c>
      <c r="I35">
        <f t="shared" si="2"/>
        <v>0.11547005383792516</v>
      </c>
      <c r="J35">
        <f>Parametri!$D$8</f>
        <v>0.11547005383792516</v>
      </c>
    </row>
    <row r="36" spans="1:10" x14ac:dyDescent="0.3">
      <c r="A36" s="2">
        <f t="shared" si="0"/>
        <v>304</v>
      </c>
      <c r="D36">
        <f t="shared" si="1"/>
        <v>2357</v>
      </c>
      <c r="E36" s="3">
        <v>1178.5</v>
      </c>
      <c r="F36">
        <f>IF(C36=0, Parametri!$D$8, ABS(B36-C36)/(2*SQRT(3)))</f>
        <v>0.11547005383792516</v>
      </c>
      <c r="G36">
        <f>(A36-335)+135.8+(Parametri!$A$5/2)</f>
        <v>113.30000000000001</v>
      </c>
      <c r="H36" s="3">
        <f>(E36-192)-('Dati (2)'!A36-Parametri!$A$11)+Parametri!$A$2</f>
        <v>917.5</v>
      </c>
      <c r="I36">
        <f t="shared" si="2"/>
        <v>0.11547005383792516</v>
      </c>
      <c r="J36">
        <f>Parametri!$D$8</f>
        <v>0.11547005383792516</v>
      </c>
    </row>
    <row r="37" spans="1:10" x14ac:dyDescent="0.3">
      <c r="A37" s="2">
        <f t="shared" si="0"/>
        <v>305</v>
      </c>
      <c r="D37">
        <f t="shared" si="1"/>
        <v>2333</v>
      </c>
      <c r="E37" s="3">
        <v>1166.5</v>
      </c>
      <c r="F37">
        <f>IF(C37=0, Parametri!$D$8, ABS(B37-C37)/(2*SQRT(3)))</f>
        <v>0.11547005383792516</v>
      </c>
      <c r="G37">
        <f>(A37-335)+135.8+(Parametri!$A$5/2)</f>
        <v>114.30000000000001</v>
      </c>
      <c r="H37" s="3">
        <f>(E37-192)-('Dati (2)'!A37-Parametri!$A$11)+Parametri!$A$2</f>
        <v>904.5</v>
      </c>
      <c r="I37">
        <f t="shared" si="2"/>
        <v>0.11547005383792516</v>
      </c>
      <c r="J37">
        <f>Parametri!$D$8</f>
        <v>0.11547005383792516</v>
      </c>
    </row>
    <row r="38" spans="1:10" x14ac:dyDescent="0.3">
      <c r="A38" s="2">
        <f t="shared" si="0"/>
        <v>306</v>
      </c>
      <c r="D38">
        <f t="shared" si="1"/>
        <v>2311</v>
      </c>
      <c r="E38" s="3">
        <v>1155.5</v>
      </c>
      <c r="F38">
        <f>IF(C38=0, Parametri!$D$8, ABS(B38-C38)/(2*SQRT(3)))</f>
        <v>0.11547005383792516</v>
      </c>
      <c r="G38">
        <f>(A38-335)+135.8+(Parametri!$A$5/2)</f>
        <v>115.30000000000001</v>
      </c>
      <c r="H38" s="3">
        <f>(E38-192)-('Dati (2)'!A38-Parametri!$A$11)+Parametri!$A$2</f>
        <v>892.5</v>
      </c>
      <c r="I38">
        <f t="shared" si="2"/>
        <v>0.11547005383792516</v>
      </c>
      <c r="J38">
        <f>Parametri!$D$8</f>
        <v>0.11547005383792516</v>
      </c>
    </row>
    <row r="39" spans="1:10" x14ac:dyDescent="0.3">
      <c r="A39" s="2">
        <f t="shared" si="0"/>
        <v>307</v>
      </c>
      <c r="D39">
        <f t="shared" si="1"/>
        <v>2282</v>
      </c>
      <c r="E39" s="3">
        <v>1141</v>
      </c>
      <c r="F39">
        <f>IF(C39=0, Parametri!$D$8, ABS(B39-C39)/(2*SQRT(3)))</f>
        <v>0.11547005383792516</v>
      </c>
      <c r="G39">
        <f>(A39-335)+135.8+(Parametri!$A$5/2)</f>
        <v>116.30000000000001</v>
      </c>
      <c r="H39" s="3">
        <f>(E39-192)-('Dati (2)'!A39-Parametri!$A$11)+Parametri!$A$2</f>
        <v>877</v>
      </c>
      <c r="I39">
        <f t="shared" si="2"/>
        <v>0.11547005383792516</v>
      </c>
      <c r="J39">
        <f>Parametri!$D$8</f>
        <v>0.11547005383792516</v>
      </c>
    </row>
    <row r="40" spans="1:10" x14ac:dyDescent="0.3">
      <c r="A40" s="2">
        <f t="shared" si="0"/>
        <v>308</v>
      </c>
      <c r="D40">
        <f t="shared" si="1"/>
        <v>2277</v>
      </c>
      <c r="E40" s="3">
        <v>1138.5</v>
      </c>
      <c r="F40">
        <f>IF(C40=0, Parametri!$D$8, ABS(B40-C40)/(2*SQRT(3)))</f>
        <v>0.11547005383792516</v>
      </c>
      <c r="G40">
        <f>(A40-335)+135.8+(Parametri!$A$5/2)</f>
        <v>117.30000000000001</v>
      </c>
      <c r="H40" s="3">
        <f>(E40-192)-('Dati (2)'!A40-Parametri!$A$11)+Parametri!$A$2</f>
        <v>873.5</v>
      </c>
      <c r="I40">
        <f t="shared" si="2"/>
        <v>0.11547005383792516</v>
      </c>
      <c r="J40">
        <f>Parametri!$D$8</f>
        <v>0.11547005383792516</v>
      </c>
    </row>
    <row r="41" spans="1:10" x14ac:dyDescent="0.3">
      <c r="A41" s="2">
        <f t="shared" si="0"/>
        <v>309</v>
      </c>
      <c r="D41">
        <f t="shared" si="1"/>
        <v>2256</v>
      </c>
      <c r="E41" s="3">
        <v>1128</v>
      </c>
      <c r="F41">
        <f>IF(C41=0, Parametri!$D$8, ABS(B41-C41)/(2*SQRT(3)))</f>
        <v>0.11547005383792516</v>
      </c>
      <c r="G41">
        <f>(A41-335)+135.8+(Parametri!$A$5/2)</f>
        <v>118.30000000000001</v>
      </c>
      <c r="H41" s="3">
        <f>(E41-192)-('Dati (2)'!A41-Parametri!$A$11)+Parametri!$A$2</f>
        <v>862</v>
      </c>
      <c r="I41">
        <f t="shared" si="2"/>
        <v>0.11547005383792516</v>
      </c>
      <c r="J41">
        <f>Parametri!$D$8</f>
        <v>0.11547005383792516</v>
      </c>
    </row>
    <row r="42" spans="1:10" x14ac:dyDescent="0.3">
      <c r="A42" s="2">
        <f t="shared" si="0"/>
        <v>310</v>
      </c>
      <c r="D42">
        <f t="shared" si="1"/>
        <v>2232</v>
      </c>
      <c r="E42" s="3">
        <v>1116</v>
      </c>
      <c r="F42">
        <f>IF(C42=0, Parametri!$D$8, ABS(B42-C42)/(2*SQRT(3)))</f>
        <v>0.11547005383792516</v>
      </c>
      <c r="G42">
        <f>(A42-335)+135.8+(Parametri!$A$5/2)</f>
        <v>119.30000000000001</v>
      </c>
      <c r="H42" s="3">
        <f>(E42-192)-('Dati (2)'!A42-Parametri!$A$11)+Parametri!$A$2</f>
        <v>849</v>
      </c>
      <c r="I42">
        <f t="shared" si="2"/>
        <v>0.11547005383792516</v>
      </c>
      <c r="J42">
        <f>Parametri!$D$8</f>
        <v>0.11547005383792516</v>
      </c>
    </row>
    <row r="43" spans="1:10" x14ac:dyDescent="0.3">
      <c r="A43" s="2">
        <f t="shared" si="0"/>
        <v>311</v>
      </c>
      <c r="D43">
        <f t="shared" si="1"/>
        <v>2220</v>
      </c>
      <c r="E43" s="3">
        <v>1110</v>
      </c>
      <c r="F43">
        <f>IF(C43=0, Parametri!$D$8, ABS(B43-C43)/(2*SQRT(3)))</f>
        <v>0.11547005383792516</v>
      </c>
      <c r="G43">
        <f>(A43-335)+135.8+(Parametri!$A$5/2)</f>
        <v>120.30000000000001</v>
      </c>
      <c r="H43" s="3">
        <f>(E43-192)-('Dati (2)'!A43-Parametri!$A$11)+Parametri!$A$2</f>
        <v>842</v>
      </c>
      <c r="I43">
        <f t="shared" si="2"/>
        <v>0.11547005383792516</v>
      </c>
      <c r="J43">
        <f>Parametri!$D$8</f>
        <v>0.11547005383792516</v>
      </c>
    </row>
    <row r="44" spans="1:10" x14ac:dyDescent="0.3">
      <c r="A44" s="2">
        <f t="shared" si="0"/>
        <v>312</v>
      </c>
      <c r="D44">
        <f t="shared" si="1"/>
        <v>2195</v>
      </c>
      <c r="E44" s="3">
        <v>1097.5</v>
      </c>
      <c r="F44">
        <f>IF(C44=0, Parametri!$D$8, ABS(B44-C44)/(2*SQRT(3)))</f>
        <v>0.11547005383792516</v>
      </c>
      <c r="G44">
        <f>(A44-335)+135.8+(Parametri!$A$5/2)</f>
        <v>121.30000000000001</v>
      </c>
      <c r="H44" s="3">
        <f>(E44-192)-('Dati (2)'!A44-Parametri!$A$11)+Parametri!$A$2</f>
        <v>828.5</v>
      </c>
      <c r="I44">
        <f t="shared" si="2"/>
        <v>0.11547005383792516</v>
      </c>
      <c r="J44">
        <f>Parametri!$D$8</f>
        <v>0.11547005383792516</v>
      </c>
    </row>
    <row r="45" spans="1:10" x14ac:dyDescent="0.3">
      <c r="A45" s="2">
        <f t="shared" si="0"/>
        <v>313</v>
      </c>
      <c r="D45">
        <f t="shared" si="1"/>
        <v>2185</v>
      </c>
      <c r="E45" s="3">
        <v>1092.5</v>
      </c>
      <c r="F45">
        <f>IF(C45=0, Parametri!$D$8, ABS(B45-C45)/(2*SQRT(3)))</f>
        <v>0.11547005383792516</v>
      </c>
      <c r="G45">
        <f>(A45-335)+135.8+(Parametri!$A$5/2)</f>
        <v>122.30000000000001</v>
      </c>
      <c r="H45" s="3">
        <f>(E45-192)-('Dati (2)'!A45-Parametri!$A$11)+Parametri!$A$2</f>
        <v>822.5</v>
      </c>
      <c r="I45">
        <f t="shared" si="2"/>
        <v>0.11547005383792516</v>
      </c>
      <c r="J45">
        <f>Parametri!$D$8</f>
        <v>0.11547005383792516</v>
      </c>
    </row>
    <row r="46" spans="1:10" x14ac:dyDescent="0.3">
      <c r="A46" s="2">
        <f t="shared" si="0"/>
        <v>314</v>
      </c>
      <c r="D46">
        <f t="shared" si="1"/>
        <v>2173</v>
      </c>
      <c r="E46" s="3">
        <v>1086.5</v>
      </c>
      <c r="F46">
        <f>IF(C46=0, Parametri!$D$8, ABS(B46-C46)/(2*SQRT(3)))</f>
        <v>0.11547005383792516</v>
      </c>
      <c r="G46">
        <f>(A46-335)+135.8+(Parametri!$A$5/2)</f>
        <v>123.30000000000001</v>
      </c>
      <c r="H46" s="3">
        <f>(E46-192)-('Dati (2)'!A46-Parametri!$A$11)+Parametri!$A$2</f>
        <v>815.5</v>
      </c>
      <c r="I46">
        <f t="shared" si="2"/>
        <v>0.11547005383792516</v>
      </c>
      <c r="J46">
        <f>Parametri!$D$8</f>
        <v>0.11547005383792516</v>
      </c>
    </row>
    <row r="47" spans="1:10" x14ac:dyDescent="0.3">
      <c r="A47" s="2">
        <f t="shared" si="0"/>
        <v>315</v>
      </c>
      <c r="D47">
        <f t="shared" si="1"/>
        <v>2150</v>
      </c>
      <c r="E47" s="3">
        <v>1075</v>
      </c>
      <c r="F47">
        <f>IF(C47=0, Parametri!$D$8, ABS(B47-C47)/(2*SQRT(3)))</f>
        <v>0.11547005383792516</v>
      </c>
      <c r="G47">
        <f>(A47-335)+135.8+(Parametri!$A$5/2)</f>
        <v>124.30000000000001</v>
      </c>
      <c r="H47" s="3">
        <f>(E47-192)-('Dati (2)'!A47-Parametri!$A$11)+Parametri!$A$2</f>
        <v>803</v>
      </c>
      <c r="I47">
        <f t="shared" si="2"/>
        <v>0.11547005383792516</v>
      </c>
      <c r="J47">
        <f>Parametri!$D$8</f>
        <v>0.11547005383792516</v>
      </c>
    </row>
    <row r="48" spans="1:10" x14ac:dyDescent="0.3">
      <c r="A48" s="2">
        <f>A47+2</f>
        <v>317</v>
      </c>
      <c r="D48">
        <f t="shared" si="1"/>
        <v>2126</v>
      </c>
      <c r="E48" s="3">
        <v>1063</v>
      </c>
      <c r="F48">
        <f>IF(C48=0, Parametri!$D$8, ABS(B48-C48)/(2*SQRT(3)))</f>
        <v>0.11547005383792516</v>
      </c>
      <c r="G48">
        <f>(A48-335)+135.8+(Parametri!$A$5/2)</f>
        <v>126.30000000000001</v>
      </c>
      <c r="H48" s="3">
        <f>(E48-192)-('Dati (2)'!A48-Parametri!$A$11)+Parametri!$A$2</f>
        <v>789</v>
      </c>
      <c r="I48">
        <f t="shared" si="2"/>
        <v>0.11547005383792516</v>
      </c>
      <c r="J48">
        <f>Parametri!$D$8</f>
        <v>0.11547005383792516</v>
      </c>
    </row>
    <row r="49" spans="1:10" x14ac:dyDescent="0.3">
      <c r="A49" s="2">
        <f t="shared" ref="A49:A65" si="3">A48+2</f>
        <v>319</v>
      </c>
      <c r="D49">
        <f t="shared" si="1"/>
        <v>2085</v>
      </c>
      <c r="E49" s="3">
        <v>1042.5</v>
      </c>
      <c r="F49">
        <f>IF(C49=0, Parametri!$D$8, ABS(B49-C49)/(2*SQRT(3)))</f>
        <v>0.11547005383792516</v>
      </c>
      <c r="G49">
        <f>(A49-335)+135.8+(Parametri!$A$5/2)</f>
        <v>128.30000000000001</v>
      </c>
      <c r="H49" s="3">
        <f>(E49-192)-('Dati (2)'!A49-Parametri!$A$11)+Parametri!$A$2</f>
        <v>766.5</v>
      </c>
      <c r="I49">
        <f t="shared" si="2"/>
        <v>0.11547005383792516</v>
      </c>
      <c r="J49">
        <f>Parametri!$D$8</f>
        <v>0.11547005383792516</v>
      </c>
    </row>
    <row r="50" spans="1:10" x14ac:dyDescent="0.3">
      <c r="A50" s="2">
        <f t="shared" si="3"/>
        <v>321</v>
      </c>
      <c r="D50">
        <f t="shared" si="1"/>
        <v>2068</v>
      </c>
      <c r="E50" s="3">
        <v>1034</v>
      </c>
      <c r="F50">
        <f>IF(C50=0, Parametri!$D$8, ABS(B50-C50)/(2*SQRT(3)))</f>
        <v>0.11547005383792516</v>
      </c>
      <c r="G50">
        <f>(A50-335)+135.8+(Parametri!$A$5/2)</f>
        <v>130.30000000000001</v>
      </c>
      <c r="H50" s="3">
        <f>(E50-192)-('Dati (2)'!A50-Parametri!$A$11)+Parametri!$A$2</f>
        <v>756</v>
      </c>
      <c r="I50">
        <f t="shared" si="2"/>
        <v>0.11547005383792516</v>
      </c>
      <c r="J50">
        <f>Parametri!$D$8</f>
        <v>0.11547005383792516</v>
      </c>
    </row>
    <row r="51" spans="1:10" x14ac:dyDescent="0.3">
      <c r="A51" s="2">
        <f t="shared" si="3"/>
        <v>323</v>
      </c>
      <c r="D51">
        <f t="shared" si="1"/>
        <v>2055</v>
      </c>
      <c r="E51" s="3">
        <v>1027.5</v>
      </c>
      <c r="F51">
        <f>IF(C51=0, Parametri!$D$8, ABS(B51-C51)/(2*SQRT(3)))</f>
        <v>0.11547005383792516</v>
      </c>
      <c r="G51">
        <f>(A51-335)+135.8+(Parametri!$A$5/2)</f>
        <v>132.30000000000001</v>
      </c>
      <c r="H51" s="3">
        <f>(E51-192)-('Dati (2)'!A51-Parametri!$A$11)+Parametri!$A$2</f>
        <v>747.5</v>
      </c>
      <c r="I51">
        <f t="shared" si="2"/>
        <v>0.11547005383792516</v>
      </c>
      <c r="J51">
        <f>Parametri!$D$8</f>
        <v>0.11547005383792516</v>
      </c>
    </row>
    <row r="52" spans="1:10" x14ac:dyDescent="0.3">
      <c r="A52" s="2">
        <f t="shared" si="3"/>
        <v>325</v>
      </c>
      <c r="D52">
        <f t="shared" si="1"/>
        <v>2020</v>
      </c>
      <c r="E52" s="3">
        <v>1010</v>
      </c>
      <c r="F52">
        <f>IF(C52=0, Parametri!$D$8, ABS(B52-C52)/(2*SQRT(3)))</f>
        <v>0.11547005383792516</v>
      </c>
      <c r="G52">
        <f>(A52-335)+135.8+(Parametri!$A$5/2)</f>
        <v>134.30000000000001</v>
      </c>
      <c r="H52" s="3">
        <f>(E52-192)-('Dati (2)'!A52-Parametri!$A$11)+Parametri!$A$2</f>
        <v>728</v>
      </c>
      <c r="I52">
        <f t="shared" si="2"/>
        <v>0.11547005383792516</v>
      </c>
      <c r="J52">
        <f>Parametri!$D$8</f>
        <v>0.11547005383792516</v>
      </c>
    </row>
    <row r="53" spans="1:10" x14ac:dyDescent="0.3">
      <c r="A53" s="2">
        <f t="shared" si="3"/>
        <v>327</v>
      </c>
      <c r="D53">
        <f t="shared" si="1"/>
        <v>1999</v>
      </c>
      <c r="E53" s="3">
        <v>999.5</v>
      </c>
      <c r="F53">
        <f>IF(C53=0, Parametri!$D$8, ABS(B53-C53)/(2*SQRT(3)))</f>
        <v>0.11547005383792516</v>
      </c>
      <c r="G53">
        <f>(A53-335)+135.8+(Parametri!$A$5/2)</f>
        <v>136.30000000000001</v>
      </c>
      <c r="H53" s="3">
        <f>(E53-192)-('Dati (2)'!A53-Parametri!$A$11)+Parametri!$A$2</f>
        <v>715.5</v>
      </c>
      <c r="I53">
        <f t="shared" si="2"/>
        <v>0.11547005383792516</v>
      </c>
      <c r="J53">
        <f>Parametri!$D$8</f>
        <v>0.11547005383792516</v>
      </c>
    </row>
    <row r="54" spans="1:10" x14ac:dyDescent="0.3">
      <c r="A54" s="2">
        <f t="shared" si="3"/>
        <v>329</v>
      </c>
      <c r="D54">
        <f t="shared" si="1"/>
        <v>1975</v>
      </c>
      <c r="E54" s="3">
        <v>987.5</v>
      </c>
      <c r="F54">
        <f>IF(C54=0, Parametri!$D$8, ABS(B54-C54)/(2*SQRT(3)))</f>
        <v>0.11547005383792516</v>
      </c>
      <c r="G54">
        <f>(A54-335)+135.8+(Parametri!$A$5/2)</f>
        <v>138.30000000000001</v>
      </c>
      <c r="H54" s="3">
        <f>(E54-192)-('Dati (2)'!A54-Parametri!$A$11)+Parametri!$A$2</f>
        <v>701.5</v>
      </c>
      <c r="I54">
        <f t="shared" si="2"/>
        <v>0.11547005383792516</v>
      </c>
      <c r="J54">
        <f>Parametri!$D$8</f>
        <v>0.11547005383792516</v>
      </c>
    </row>
    <row r="55" spans="1:10" x14ac:dyDescent="0.3">
      <c r="A55" s="2">
        <f t="shared" si="3"/>
        <v>331</v>
      </c>
      <c r="D55">
        <f t="shared" si="1"/>
        <v>1961</v>
      </c>
      <c r="E55" s="3">
        <v>980.5</v>
      </c>
      <c r="F55">
        <f>IF(C55=0, Parametri!$D$8, ABS(B55-C55)/(2*SQRT(3)))</f>
        <v>0.11547005383792516</v>
      </c>
      <c r="G55">
        <f>(A55-335)+135.8+(Parametri!$A$5/2)</f>
        <v>140.30000000000001</v>
      </c>
      <c r="H55" s="3">
        <f>(E55-192)-('Dati (2)'!A55-Parametri!$A$11)+Parametri!$A$2</f>
        <v>692.5</v>
      </c>
      <c r="I55">
        <f t="shared" si="2"/>
        <v>0.11547005383792516</v>
      </c>
      <c r="J55">
        <f>Parametri!$D$8</f>
        <v>0.11547005383792516</v>
      </c>
    </row>
    <row r="56" spans="1:10" x14ac:dyDescent="0.3">
      <c r="A56" s="2">
        <f t="shared" si="3"/>
        <v>333</v>
      </c>
      <c r="D56">
        <f t="shared" si="1"/>
        <v>1940</v>
      </c>
      <c r="E56" s="3">
        <v>970</v>
      </c>
      <c r="F56">
        <f>IF(C56=0, Parametri!$D$8, ABS(B56-C56)/(2*SQRT(3)))</f>
        <v>0.11547005383792516</v>
      </c>
      <c r="G56">
        <f>(A56-335)+135.8+(Parametri!$A$5/2)</f>
        <v>142.30000000000001</v>
      </c>
      <c r="H56" s="3">
        <f>(E56-192)-('Dati (2)'!A56-Parametri!$A$11)+Parametri!$A$2</f>
        <v>680</v>
      </c>
      <c r="I56">
        <f t="shared" si="2"/>
        <v>0.11547005383792516</v>
      </c>
      <c r="J56">
        <f>Parametri!$D$8</f>
        <v>0.11547005383792516</v>
      </c>
    </row>
    <row r="57" spans="1:10" x14ac:dyDescent="0.3">
      <c r="A57" s="2">
        <f t="shared" si="3"/>
        <v>335</v>
      </c>
      <c r="D57">
        <f t="shared" si="1"/>
        <v>1910</v>
      </c>
      <c r="E57" s="3">
        <v>955</v>
      </c>
      <c r="F57">
        <f>IF(C57=0, Parametri!$D$8, ABS(B57-C57)/(2*SQRT(3)))</f>
        <v>0.11547005383792516</v>
      </c>
      <c r="G57">
        <f>(A57-335)+135.8+(Parametri!$A$5/2)</f>
        <v>144.30000000000001</v>
      </c>
      <c r="H57" s="3">
        <f>(E57-192)-('Dati (2)'!A57-Parametri!$A$11)+Parametri!$A$2</f>
        <v>663</v>
      </c>
      <c r="I57">
        <f t="shared" si="2"/>
        <v>0.11547005383792516</v>
      </c>
      <c r="J57">
        <f>Parametri!$D$8</f>
        <v>0.11547005383792516</v>
      </c>
    </row>
    <row r="58" spans="1:10" x14ac:dyDescent="0.3">
      <c r="A58" s="2">
        <f t="shared" si="3"/>
        <v>337</v>
      </c>
      <c r="D58">
        <f t="shared" si="1"/>
        <v>1891</v>
      </c>
      <c r="E58" s="3">
        <v>945.5</v>
      </c>
      <c r="F58">
        <f>IF(C58=0, Parametri!$D$8, ABS(B58-C58)/(2*SQRT(3)))</f>
        <v>0.11547005383792516</v>
      </c>
      <c r="G58">
        <f>(A58-335)+135.8+(Parametri!$A$5/2)</f>
        <v>146.30000000000001</v>
      </c>
      <c r="H58" s="3">
        <f>(E58-192)-('Dati (2)'!A58-Parametri!$A$11)+Parametri!$A$2</f>
        <v>651.5</v>
      </c>
      <c r="I58">
        <f t="shared" si="2"/>
        <v>0.11547005383792516</v>
      </c>
      <c r="J58">
        <f>Parametri!$D$8</f>
        <v>0.11547005383792516</v>
      </c>
    </row>
    <row r="59" spans="1:10" x14ac:dyDescent="0.3">
      <c r="A59" s="2">
        <f t="shared" si="3"/>
        <v>339</v>
      </c>
      <c r="D59">
        <f t="shared" si="1"/>
        <v>1887</v>
      </c>
      <c r="E59" s="3">
        <v>943.5</v>
      </c>
      <c r="F59">
        <f>IF(C59=0, Parametri!$D$8, ABS(B59-C59)/(2*SQRT(3)))</f>
        <v>0.11547005383792516</v>
      </c>
      <c r="G59">
        <f>(A59-335)+135.8+(Parametri!$A$5/2)</f>
        <v>148.30000000000001</v>
      </c>
      <c r="H59" s="3">
        <f>(E59-192)-('Dati (2)'!A59-Parametri!$A$11)+Parametri!$A$2</f>
        <v>647.5</v>
      </c>
      <c r="I59">
        <f t="shared" si="2"/>
        <v>0.11547005383792516</v>
      </c>
      <c r="J59">
        <f>Parametri!$D$8</f>
        <v>0.11547005383792516</v>
      </c>
    </row>
    <row r="60" spans="1:10" x14ac:dyDescent="0.3">
      <c r="A60" s="2">
        <f t="shared" si="3"/>
        <v>341</v>
      </c>
      <c r="D60">
        <f t="shared" si="1"/>
        <v>1867</v>
      </c>
      <c r="E60" s="3">
        <v>933.5</v>
      </c>
      <c r="F60">
        <f>IF(C60=0, Parametri!$D$8, ABS(B60-C60)/(2*SQRT(3)))</f>
        <v>0.11547005383792516</v>
      </c>
      <c r="G60">
        <f>(A60-335)+135.8+(Parametri!$A$5/2)</f>
        <v>150.30000000000001</v>
      </c>
      <c r="H60" s="3">
        <f>(E60-192)-('Dati (2)'!A60-Parametri!$A$11)+Parametri!$A$2</f>
        <v>635.5</v>
      </c>
      <c r="I60">
        <f t="shared" si="2"/>
        <v>0.11547005383792516</v>
      </c>
      <c r="J60">
        <f>Parametri!$D$8</f>
        <v>0.11547005383792516</v>
      </c>
    </row>
    <row r="61" spans="1:10" x14ac:dyDescent="0.3">
      <c r="A61" s="2">
        <f t="shared" si="3"/>
        <v>343</v>
      </c>
      <c r="D61">
        <f t="shared" si="1"/>
        <v>1862</v>
      </c>
      <c r="E61" s="3">
        <v>931</v>
      </c>
      <c r="F61">
        <f>IF(C61=0, Parametri!$D$8, ABS(B61-C61)/(2*SQRT(3)))</f>
        <v>0.11547005383792516</v>
      </c>
      <c r="G61">
        <f>(A61-335)+135.8+(Parametri!$A$5/2)</f>
        <v>152.30000000000001</v>
      </c>
      <c r="H61" s="3">
        <f>(E61-192)-('Dati (2)'!A61-Parametri!$A$11)+Parametri!$A$2</f>
        <v>631</v>
      </c>
      <c r="I61">
        <f t="shared" si="2"/>
        <v>0.11547005383792516</v>
      </c>
      <c r="J61">
        <f>Parametri!$D$8</f>
        <v>0.11547005383792516</v>
      </c>
    </row>
    <row r="62" spans="1:10" x14ac:dyDescent="0.3">
      <c r="A62" s="2">
        <f t="shared" si="3"/>
        <v>345</v>
      </c>
      <c r="D62">
        <f t="shared" si="1"/>
        <v>1846</v>
      </c>
      <c r="E62" s="3">
        <v>923</v>
      </c>
      <c r="F62">
        <f>IF(C62=0, Parametri!$D$8, ABS(B62-C62)/(2*SQRT(3)))</f>
        <v>0.11547005383792516</v>
      </c>
      <c r="G62">
        <f>(A62-335)+135.8+(Parametri!$A$5/2)</f>
        <v>154.30000000000001</v>
      </c>
      <c r="H62" s="3">
        <f>(E62-192)-('Dati (2)'!A62-Parametri!$A$11)+Parametri!$A$2</f>
        <v>621</v>
      </c>
      <c r="I62">
        <f t="shared" si="2"/>
        <v>0.11547005383792516</v>
      </c>
      <c r="J62">
        <f>Parametri!$D$8</f>
        <v>0.11547005383792516</v>
      </c>
    </row>
    <row r="63" spans="1:10" x14ac:dyDescent="0.3">
      <c r="A63" s="2">
        <f t="shared" si="3"/>
        <v>347</v>
      </c>
      <c r="D63">
        <f t="shared" si="1"/>
        <v>1840</v>
      </c>
      <c r="E63" s="3">
        <v>920</v>
      </c>
      <c r="F63">
        <f>IF(C63=0, Parametri!$D$8, ABS(B63-C63)/(2*SQRT(3)))</f>
        <v>0.11547005383792516</v>
      </c>
      <c r="G63">
        <f>(A63-335)+135.8+(Parametri!$A$5/2)</f>
        <v>156.30000000000001</v>
      </c>
      <c r="H63" s="3">
        <f>(E63-192)-('Dati (2)'!A63-Parametri!$A$11)+Parametri!$A$2</f>
        <v>616</v>
      </c>
      <c r="I63">
        <f t="shared" si="2"/>
        <v>0.11547005383792516</v>
      </c>
      <c r="J63">
        <f>Parametri!$D$8</f>
        <v>0.11547005383792516</v>
      </c>
    </row>
    <row r="64" spans="1:10" x14ac:dyDescent="0.3">
      <c r="A64" s="2">
        <f t="shared" si="3"/>
        <v>349</v>
      </c>
      <c r="D64">
        <f t="shared" si="1"/>
        <v>1824</v>
      </c>
      <c r="E64" s="3">
        <v>912</v>
      </c>
      <c r="F64">
        <f>IF(C64=0, Parametri!$D$8, ABS(B64-C64)/(2*SQRT(3)))</f>
        <v>0.11547005383792516</v>
      </c>
      <c r="G64">
        <f>(A64-335)+135.8+(Parametri!$A$5/2)</f>
        <v>158.30000000000001</v>
      </c>
      <c r="H64" s="3">
        <f>(E64-192)-('Dati (2)'!A64-Parametri!$A$11)+Parametri!$A$2</f>
        <v>606</v>
      </c>
      <c r="I64">
        <f t="shared" si="2"/>
        <v>0.11547005383792516</v>
      </c>
      <c r="J64">
        <f>Parametri!$D$8</f>
        <v>0.11547005383792516</v>
      </c>
    </row>
    <row r="65" spans="1:10" x14ac:dyDescent="0.3">
      <c r="A65" s="2">
        <f t="shared" si="3"/>
        <v>351</v>
      </c>
      <c r="D65">
        <f t="shared" si="1"/>
        <v>1812</v>
      </c>
      <c r="E65" s="3">
        <v>906</v>
      </c>
      <c r="F65">
        <f>IF(C65=0, Parametri!$D$8, ABS(B65-C65)/(2*SQRT(3)))</f>
        <v>0.11547005383792516</v>
      </c>
      <c r="G65">
        <f>(A65-335)+135.8+(Parametri!$A$5/2)</f>
        <v>160.30000000000001</v>
      </c>
      <c r="H65" s="3">
        <f>(E65-192)-('Dati (2)'!A65-Parametri!$A$11)+Parametri!$A$2</f>
        <v>598</v>
      </c>
      <c r="I65">
        <f t="shared" si="2"/>
        <v>0.11547005383792516</v>
      </c>
      <c r="J65">
        <f>Parametri!$D$8</f>
        <v>0.11547005383792516</v>
      </c>
    </row>
    <row r="66" spans="1:10" x14ac:dyDescent="0.3">
      <c r="A66" s="2">
        <f>A65+3</f>
        <v>354</v>
      </c>
      <c r="D66">
        <f t="shared" si="1"/>
        <v>1806</v>
      </c>
      <c r="E66" s="3">
        <v>903</v>
      </c>
      <c r="F66">
        <f>IF(C66=0, Parametri!$D$8, ABS(B66-C66)/(2*SQRT(3)))</f>
        <v>0.11547005383792516</v>
      </c>
      <c r="G66">
        <f>(A66-335)+135.8+(Parametri!$A$5/2)</f>
        <v>163.30000000000001</v>
      </c>
      <c r="H66" s="3">
        <f>(E66-192)-('Dati (2)'!A66-Parametri!$A$11)+Parametri!$A$2</f>
        <v>592</v>
      </c>
      <c r="I66">
        <f t="shared" si="2"/>
        <v>0.11547005383792516</v>
      </c>
      <c r="J66">
        <f>Parametri!$D$8</f>
        <v>0.11547005383792516</v>
      </c>
    </row>
    <row r="67" spans="1:10" x14ac:dyDescent="0.3">
      <c r="A67" s="2">
        <f t="shared" ref="A67:A73" si="4">A66+3</f>
        <v>357</v>
      </c>
      <c r="D67">
        <f t="shared" ref="D67:D125" si="5">B67+2*E67</f>
        <v>1782</v>
      </c>
      <c r="E67" s="3">
        <v>891</v>
      </c>
      <c r="F67">
        <f>IF(C67=0, Parametri!$D$8, ABS(B67-C67)/(2*SQRT(3)))</f>
        <v>0.11547005383792516</v>
      </c>
      <c r="G67">
        <f>(A67-335)+135.8+(Parametri!$A$5/2)</f>
        <v>166.3</v>
      </c>
      <c r="H67" s="3">
        <f>(E67-192)-('Dati (2)'!A67-Parametri!$A$11)+Parametri!$A$2</f>
        <v>577</v>
      </c>
      <c r="I67">
        <f t="shared" ref="I67:I125" si="6">F67</f>
        <v>0.11547005383792516</v>
      </c>
      <c r="J67">
        <f>Parametri!$D$8</f>
        <v>0.11547005383792516</v>
      </c>
    </row>
    <row r="68" spans="1:10" x14ac:dyDescent="0.3">
      <c r="A68" s="2">
        <f t="shared" si="4"/>
        <v>360</v>
      </c>
      <c r="D68">
        <f t="shared" si="5"/>
        <v>1777</v>
      </c>
      <c r="E68" s="3">
        <v>888.5</v>
      </c>
      <c r="F68">
        <f>IF(C68=0, Parametri!$D$8, ABS(B68-C68)/(2*SQRT(3)))</f>
        <v>0.11547005383792516</v>
      </c>
      <c r="G68">
        <f>(A68-335)+135.8+(Parametri!$A$5/2)</f>
        <v>169.3</v>
      </c>
      <c r="H68" s="3">
        <f>(E68-192)-('Dati (2)'!A68-Parametri!$A$11)+Parametri!$A$2</f>
        <v>571.5</v>
      </c>
      <c r="I68">
        <f t="shared" si="6"/>
        <v>0.11547005383792516</v>
      </c>
      <c r="J68">
        <f>Parametri!$D$8</f>
        <v>0.11547005383792516</v>
      </c>
    </row>
    <row r="69" spans="1:10" x14ac:dyDescent="0.3">
      <c r="A69" s="2">
        <f t="shared" si="4"/>
        <v>363</v>
      </c>
      <c r="D69">
        <f t="shared" si="5"/>
        <v>1780</v>
      </c>
      <c r="E69" s="3">
        <v>890</v>
      </c>
      <c r="F69">
        <f>IF(C69=0, Parametri!$D$8, ABS(B69-C69)/(2*SQRT(3)))</f>
        <v>0.11547005383792516</v>
      </c>
      <c r="G69">
        <f>(A69-335)+135.8+(Parametri!$A$5/2)</f>
        <v>172.3</v>
      </c>
      <c r="H69" s="3">
        <f>(E69-192)-('Dati (2)'!A69-Parametri!$A$11)+Parametri!$A$2</f>
        <v>570</v>
      </c>
      <c r="I69">
        <f t="shared" si="6"/>
        <v>0.11547005383792516</v>
      </c>
      <c r="J69">
        <f>Parametri!$D$8</f>
        <v>0.11547005383792516</v>
      </c>
    </row>
    <row r="70" spans="1:10" x14ac:dyDescent="0.3">
      <c r="A70" s="2">
        <f t="shared" si="4"/>
        <v>366</v>
      </c>
      <c r="D70">
        <f t="shared" si="5"/>
        <v>1752</v>
      </c>
      <c r="E70" s="3">
        <v>876</v>
      </c>
      <c r="F70">
        <f>IF(C70=0, Parametri!$D$8, ABS(B70-C70)/(2*SQRT(3)))</f>
        <v>0.11547005383792516</v>
      </c>
      <c r="G70">
        <f>(A70-335)+135.8+(Parametri!$A$5/2)</f>
        <v>175.3</v>
      </c>
      <c r="H70" s="3">
        <f>(E70-192)-('Dati (2)'!A70-Parametri!$A$11)+Parametri!$A$2</f>
        <v>553</v>
      </c>
      <c r="I70">
        <f t="shared" si="6"/>
        <v>0.11547005383792516</v>
      </c>
      <c r="J70">
        <f>Parametri!$D$8</f>
        <v>0.11547005383792516</v>
      </c>
    </row>
    <row r="71" spans="1:10" x14ac:dyDescent="0.3">
      <c r="A71" s="2">
        <f t="shared" si="4"/>
        <v>369</v>
      </c>
      <c r="D71">
        <f t="shared" si="5"/>
        <v>1744</v>
      </c>
      <c r="E71" s="3">
        <v>872</v>
      </c>
      <c r="F71">
        <f>IF(C71=0, Parametri!$D$8, ABS(B71-C71)/(2*SQRT(3)))</f>
        <v>0.11547005383792516</v>
      </c>
      <c r="G71">
        <f>(A71-335)+135.8+(Parametri!$A$5/2)</f>
        <v>178.3</v>
      </c>
      <c r="H71" s="3">
        <f>(E71-192)-('Dati (2)'!A71-Parametri!$A$11)+Parametri!$A$2</f>
        <v>546</v>
      </c>
      <c r="I71">
        <f t="shared" si="6"/>
        <v>0.11547005383792516</v>
      </c>
      <c r="J71">
        <f>Parametri!$D$8</f>
        <v>0.11547005383792516</v>
      </c>
    </row>
    <row r="72" spans="1:10" x14ac:dyDescent="0.3">
      <c r="A72" s="2">
        <f t="shared" si="4"/>
        <v>372</v>
      </c>
      <c r="D72">
        <f t="shared" si="5"/>
        <v>1742</v>
      </c>
      <c r="E72" s="3">
        <v>871</v>
      </c>
      <c r="F72">
        <f>IF(C72=0, Parametri!$D$8, ABS(B72-C72)/(2*SQRT(3)))</f>
        <v>0.11547005383792516</v>
      </c>
      <c r="G72">
        <f>(A72-335)+135.8+(Parametri!$A$5/2)</f>
        <v>181.3</v>
      </c>
      <c r="H72" s="3">
        <f>(E72-192)-('Dati (2)'!A72-Parametri!$A$11)+Parametri!$A$2</f>
        <v>542</v>
      </c>
      <c r="I72">
        <f t="shared" si="6"/>
        <v>0.11547005383792516</v>
      </c>
      <c r="J72">
        <f>Parametri!$D$8</f>
        <v>0.11547005383792516</v>
      </c>
    </row>
    <row r="73" spans="1:10" x14ac:dyDescent="0.3">
      <c r="A73" s="2">
        <f t="shared" si="4"/>
        <v>375</v>
      </c>
      <c r="D73">
        <f t="shared" si="5"/>
        <v>1734</v>
      </c>
      <c r="E73" s="3">
        <v>867</v>
      </c>
      <c r="F73">
        <f>IF(C73=0, Parametri!$D$8, ABS(B73-C73)/(2*SQRT(3)))</f>
        <v>0.11547005383792516</v>
      </c>
      <c r="G73">
        <f>(A73-335)+135.8+(Parametri!$A$5/2)</f>
        <v>184.3</v>
      </c>
      <c r="H73" s="3">
        <f>(E73-192)-('Dati (2)'!A73-Parametri!$A$11)+Parametri!$A$2</f>
        <v>535</v>
      </c>
      <c r="I73">
        <f t="shared" si="6"/>
        <v>0.11547005383792516</v>
      </c>
      <c r="J73">
        <f>Parametri!$D$8</f>
        <v>0.11547005383792516</v>
      </c>
    </row>
    <row r="74" spans="1:10" x14ac:dyDescent="0.3">
      <c r="A74" s="2">
        <f>A73+4</f>
        <v>379</v>
      </c>
      <c r="D74">
        <f t="shared" si="5"/>
        <v>1721</v>
      </c>
      <c r="E74" s="3">
        <v>860.5</v>
      </c>
      <c r="F74">
        <f>IF(C74=0, Parametri!$D$8, ABS(B74-C74)/(2*SQRT(3)))</f>
        <v>0.11547005383792516</v>
      </c>
      <c r="G74">
        <f>(A74-335)+135.8+(Parametri!$A$5/2)</f>
        <v>188.3</v>
      </c>
      <c r="H74" s="3">
        <f>(E74-192)-('Dati (2)'!A74-Parametri!$A$11)+Parametri!$A$2</f>
        <v>524.5</v>
      </c>
      <c r="I74">
        <f t="shared" si="6"/>
        <v>0.11547005383792516</v>
      </c>
      <c r="J74">
        <f>Parametri!$D$8</f>
        <v>0.11547005383792516</v>
      </c>
    </row>
    <row r="75" spans="1:10" x14ac:dyDescent="0.3">
      <c r="A75" s="2">
        <f t="shared" ref="A75:A81" si="7">A74+4</f>
        <v>383</v>
      </c>
      <c r="D75">
        <f t="shared" si="5"/>
        <v>1720</v>
      </c>
      <c r="E75" s="3">
        <v>860</v>
      </c>
      <c r="F75">
        <f>IF(C75=0, Parametri!$D$8, ABS(B75-C75)/(2*SQRT(3)))</f>
        <v>0.11547005383792516</v>
      </c>
      <c r="G75">
        <f>(A75-335)+135.8+(Parametri!$A$5/2)</f>
        <v>192.3</v>
      </c>
      <c r="H75" s="3">
        <f>(E75-192)-('Dati (2)'!A75-Parametri!$A$11)+Parametri!$A$2</f>
        <v>520</v>
      </c>
      <c r="I75">
        <f t="shared" si="6"/>
        <v>0.11547005383792516</v>
      </c>
      <c r="J75">
        <f>Parametri!$D$8</f>
        <v>0.11547005383792516</v>
      </c>
    </row>
    <row r="76" spans="1:10" x14ac:dyDescent="0.3">
      <c r="A76" s="2">
        <f t="shared" si="7"/>
        <v>387</v>
      </c>
      <c r="D76">
        <f t="shared" si="5"/>
        <v>1706</v>
      </c>
      <c r="E76" s="3">
        <v>853</v>
      </c>
      <c r="F76">
        <f>IF(C76=0, Parametri!$D$8, ABS(B76-C76)/(2*SQRT(3)))</f>
        <v>0.11547005383792516</v>
      </c>
      <c r="G76">
        <f>(A76-335)+135.8+(Parametri!$A$5/2)</f>
        <v>196.3</v>
      </c>
      <c r="H76" s="3">
        <f>(E76-192)-('Dati (2)'!A76-Parametri!$A$11)+Parametri!$A$2</f>
        <v>509</v>
      </c>
      <c r="I76">
        <f t="shared" si="6"/>
        <v>0.11547005383792516</v>
      </c>
      <c r="J76">
        <f>Parametri!$D$8</f>
        <v>0.11547005383792516</v>
      </c>
    </row>
    <row r="77" spans="1:10" x14ac:dyDescent="0.3">
      <c r="A77" s="2">
        <f t="shared" si="7"/>
        <v>391</v>
      </c>
      <c r="D77">
        <f t="shared" si="5"/>
        <v>1695</v>
      </c>
      <c r="E77" s="3">
        <v>847.5</v>
      </c>
      <c r="F77">
        <f>IF(C77=0, Parametri!$D$8, ABS(B77-C77)/(2*SQRT(3)))</f>
        <v>0.11547005383792516</v>
      </c>
      <c r="G77">
        <f>(A77-335)+135.8+(Parametri!$A$5/2)</f>
        <v>200.3</v>
      </c>
      <c r="H77" s="3">
        <f>(E77-192)-('Dati (2)'!A77-Parametri!$A$11)+Parametri!$A$2</f>
        <v>499.5</v>
      </c>
      <c r="I77">
        <f t="shared" si="6"/>
        <v>0.11547005383792516</v>
      </c>
      <c r="J77">
        <f>Parametri!$D$8</f>
        <v>0.11547005383792516</v>
      </c>
    </row>
    <row r="78" spans="1:10" x14ac:dyDescent="0.3">
      <c r="A78" s="2">
        <f t="shared" si="7"/>
        <v>395</v>
      </c>
      <c r="D78">
        <f t="shared" si="5"/>
        <v>1696</v>
      </c>
      <c r="E78" s="3">
        <v>848</v>
      </c>
      <c r="F78">
        <f>IF(C78=0, Parametri!$D$8, ABS(B78-C78)/(2*SQRT(3)))</f>
        <v>0.11547005383792516</v>
      </c>
      <c r="G78">
        <f>(A78-335)+135.8+(Parametri!$A$5/2)</f>
        <v>204.3</v>
      </c>
      <c r="H78" s="3">
        <f>(E78-192)-('Dati (2)'!A78-Parametri!$A$11)+Parametri!$A$2</f>
        <v>496</v>
      </c>
      <c r="I78">
        <f t="shared" si="6"/>
        <v>0.11547005383792516</v>
      </c>
      <c r="J78">
        <f>Parametri!$D$8</f>
        <v>0.11547005383792516</v>
      </c>
    </row>
    <row r="79" spans="1:10" x14ac:dyDescent="0.3">
      <c r="A79" s="2">
        <f t="shared" si="7"/>
        <v>399</v>
      </c>
      <c r="D79">
        <f t="shared" si="5"/>
        <v>1685</v>
      </c>
      <c r="E79" s="3">
        <v>842.5</v>
      </c>
      <c r="F79">
        <f>IF(C79=0, Parametri!$D$8, ABS(B79-C79)/(2*SQRT(3)))</f>
        <v>0.11547005383792516</v>
      </c>
      <c r="G79">
        <f>(A79-335)+135.8+(Parametri!$A$5/2)</f>
        <v>208.3</v>
      </c>
      <c r="H79" s="3">
        <f>(E79-192)-('Dati (2)'!A79-Parametri!$A$11)+Parametri!$A$2</f>
        <v>486.5</v>
      </c>
      <c r="I79">
        <f t="shared" si="6"/>
        <v>0.11547005383792516</v>
      </c>
      <c r="J79">
        <f>Parametri!$D$8</f>
        <v>0.11547005383792516</v>
      </c>
    </row>
    <row r="80" spans="1:10" x14ac:dyDescent="0.3">
      <c r="A80" s="2">
        <f t="shared" si="7"/>
        <v>403</v>
      </c>
      <c r="D80">
        <f t="shared" si="5"/>
        <v>1682</v>
      </c>
      <c r="E80" s="3">
        <v>841</v>
      </c>
      <c r="F80">
        <f>IF(C80=0, Parametri!$D$8, ABS(B80-C80)/(2*SQRT(3)))</f>
        <v>0.11547005383792516</v>
      </c>
      <c r="G80">
        <f>(A80-335)+135.8+(Parametri!$A$5/2)</f>
        <v>212.3</v>
      </c>
      <c r="H80" s="3">
        <f>(E80-192)-('Dati (2)'!A80-Parametri!$A$11)+Parametri!$A$2</f>
        <v>481</v>
      </c>
      <c r="I80">
        <f t="shared" si="6"/>
        <v>0.11547005383792516</v>
      </c>
      <c r="J80">
        <f>Parametri!$D$8</f>
        <v>0.11547005383792516</v>
      </c>
    </row>
    <row r="81" spans="1:10" x14ac:dyDescent="0.3">
      <c r="A81" s="2">
        <f t="shared" si="7"/>
        <v>407</v>
      </c>
      <c r="D81">
        <f t="shared" si="5"/>
        <v>1677</v>
      </c>
      <c r="E81" s="3">
        <v>838.5</v>
      </c>
      <c r="F81">
        <f>IF(C81=0, Parametri!$D$8, ABS(B81-C81)/(2*SQRT(3)))</f>
        <v>0.11547005383792516</v>
      </c>
      <c r="G81">
        <f>(A81-335)+135.8+(Parametri!$A$5/2)</f>
        <v>216.3</v>
      </c>
      <c r="H81" s="3">
        <f>(E81-192)-('Dati (2)'!A81-Parametri!$A$11)+Parametri!$A$2</f>
        <v>474.5</v>
      </c>
      <c r="I81">
        <f t="shared" si="6"/>
        <v>0.11547005383792516</v>
      </c>
      <c r="J81">
        <f>Parametri!$D$8</f>
        <v>0.11547005383792516</v>
      </c>
    </row>
    <row r="82" spans="1:10" x14ac:dyDescent="0.3">
      <c r="A82" s="2">
        <f>A81+5</f>
        <v>412</v>
      </c>
      <c r="D82">
        <f t="shared" si="5"/>
        <v>1683</v>
      </c>
      <c r="E82" s="3">
        <v>841.5</v>
      </c>
      <c r="F82">
        <f>IF(C82=0, Parametri!$D$8, ABS(B82-C82)/(2*SQRT(3)))</f>
        <v>0.11547005383792516</v>
      </c>
      <c r="G82">
        <f>(A82-335)+135.8+(Parametri!$A$5/2)</f>
        <v>221.3</v>
      </c>
      <c r="H82" s="3">
        <f>(E82-192)-('Dati (2)'!A82-Parametri!$A$11)+Parametri!$A$2</f>
        <v>472.5</v>
      </c>
      <c r="I82">
        <f t="shared" si="6"/>
        <v>0.11547005383792516</v>
      </c>
      <c r="J82">
        <f>Parametri!$D$8</f>
        <v>0.11547005383792516</v>
      </c>
    </row>
    <row r="83" spans="1:10" x14ac:dyDescent="0.3">
      <c r="A83" s="2">
        <f t="shared" ref="A83:A89" si="8">A82+5</f>
        <v>417</v>
      </c>
      <c r="D83">
        <f t="shared" si="5"/>
        <v>1684</v>
      </c>
      <c r="E83" s="3">
        <v>842</v>
      </c>
      <c r="F83">
        <f>IF(C83=0, Parametri!$D$8, ABS(B83-C83)/(2*SQRT(3)))</f>
        <v>0.11547005383792516</v>
      </c>
      <c r="G83">
        <f>(A83-335)+135.8+(Parametri!$A$5/2)</f>
        <v>226.3</v>
      </c>
      <c r="H83" s="3">
        <f>(E83-192)-('Dati (2)'!A83-Parametri!$A$11)+Parametri!$A$2</f>
        <v>468</v>
      </c>
      <c r="I83">
        <f t="shared" si="6"/>
        <v>0.11547005383792516</v>
      </c>
      <c r="J83">
        <f>Parametri!$D$8</f>
        <v>0.11547005383792516</v>
      </c>
    </row>
    <row r="84" spans="1:10" x14ac:dyDescent="0.3">
      <c r="A84" s="2">
        <f t="shared" si="8"/>
        <v>422</v>
      </c>
      <c r="D84">
        <f t="shared" si="5"/>
        <v>1682</v>
      </c>
      <c r="E84" s="3">
        <v>841</v>
      </c>
      <c r="F84">
        <f>IF(C84=0, Parametri!$D$8, ABS(B84-C84)/(2*SQRT(3)))</f>
        <v>0.11547005383792516</v>
      </c>
      <c r="G84">
        <f>(A84-335)+135.8+(Parametri!$A$5/2)</f>
        <v>231.3</v>
      </c>
      <c r="H84" s="3">
        <f>(E84-192)-('Dati (2)'!A84-Parametri!$A$11)+Parametri!$A$2</f>
        <v>462</v>
      </c>
      <c r="I84">
        <f t="shared" si="6"/>
        <v>0.11547005383792516</v>
      </c>
      <c r="J84">
        <f>Parametri!$D$8</f>
        <v>0.11547005383792516</v>
      </c>
    </row>
    <row r="85" spans="1:10" x14ac:dyDescent="0.3">
      <c r="A85" s="2">
        <f t="shared" si="8"/>
        <v>427</v>
      </c>
      <c r="D85">
        <f t="shared" si="5"/>
        <v>1681</v>
      </c>
      <c r="E85" s="3">
        <v>840.5</v>
      </c>
      <c r="F85">
        <f>IF(C85=0, Parametri!$D$8, ABS(B85-C85)/(2*SQRT(3)))</f>
        <v>0.11547005383792516</v>
      </c>
      <c r="G85">
        <f>(A85-335)+135.8+(Parametri!$A$5/2)</f>
        <v>236.3</v>
      </c>
      <c r="H85" s="3">
        <f>(E85-192)-('Dati (2)'!A85-Parametri!$A$11)+Parametri!$A$2</f>
        <v>456.5</v>
      </c>
      <c r="I85">
        <f t="shared" si="6"/>
        <v>0.11547005383792516</v>
      </c>
      <c r="J85">
        <f>Parametri!$D$8</f>
        <v>0.11547005383792516</v>
      </c>
    </row>
    <row r="86" spans="1:10" x14ac:dyDescent="0.3">
      <c r="A86" s="2">
        <f t="shared" si="8"/>
        <v>432</v>
      </c>
      <c r="D86">
        <f t="shared" si="5"/>
        <v>1680</v>
      </c>
      <c r="E86" s="3">
        <v>840</v>
      </c>
      <c r="F86">
        <f>IF(C86=0, Parametri!$D$8, ABS(B86-C86)/(2*SQRT(3)))</f>
        <v>0.11547005383792516</v>
      </c>
      <c r="G86">
        <f>(A86-335)+135.8+(Parametri!$A$5/2)</f>
        <v>241.3</v>
      </c>
      <c r="H86" s="3">
        <f>(E86-192)-('Dati (2)'!A86-Parametri!$A$11)+Parametri!$A$2</f>
        <v>451</v>
      </c>
      <c r="I86">
        <f t="shared" si="6"/>
        <v>0.11547005383792516</v>
      </c>
      <c r="J86">
        <f>Parametri!$D$8</f>
        <v>0.11547005383792516</v>
      </c>
    </row>
    <row r="87" spans="1:10" x14ac:dyDescent="0.3">
      <c r="A87" s="2">
        <f t="shared" si="8"/>
        <v>437</v>
      </c>
      <c r="D87">
        <f t="shared" si="5"/>
        <v>1680</v>
      </c>
      <c r="E87" s="3">
        <v>840</v>
      </c>
      <c r="F87">
        <f>IF(C87=0, Parametri!$D$8, ABS(B87-C87)/(2*SQRT(3)))</f>
        <v>0.11547005383792516</v>
      </c>
      <c r="G87">
        <f>(A87-335)+135.8+(Parametri!$A$5/2)</f>
        <v>246.3</v>
      </c>
      <c r="H87" s="3">
        <f>(E87-192)-('Dati (2)'!A87-Parametri!$A$11)+Parametri!$A$2</f>
        <v>446</v>
      </c>
      <c r="I87">
        <f t="shared" si="6"/>
        <v>0.11547005383792516</v>
      </c>
      <c r="J87">
        <f>Parametri!$D$8</f>
        <v>0.11547005383792516</v>
      </c>
    </row>
    <row r="88" spans="1:10" x14ac:dyDescent="0.3">
      <c r="A88" s="2">
        <f t="shared" si="8"/>
        <v>442</v>
      </c>
      <c r="D88">
        <f t="shared" si="5"/>
        <v>1680</v>
      </c>
      <c r="E88" s="3">
        <v>840</v>
      </c>
      <c r="F88">
        <f>IF(C88=0, Parametri!$D$8, ABS(B88-C88)/(2*SQRT(3)))</f>
        <v>0.11547005383792516</v>
      </c>
      <c r="G88">
        <f>(A88-335)+135.8+(Parametri!$A$5/2)</f>
        <v>251.3</v>
      </c>
      <c r="H88" s="3">
        <f>(E88-192)-('Dati (2)'!A88-Parametri!$A$11)+Parametri!$A$2</f>
        <v>441</v>
      </c>
      <c r="I88">
        <f t="shared" si="6"/>
        <v>0.11547005383792516</v>
      </c>
      <c r="J88">
        <f>Parametri!$D$8</f>
        <v>0.11547005383792516</v>
      </c>
    </row>
    <row r="89" spans="1:10" x14ac:dyDescent="0.3">
      <c r="A89" s="2">
        <f t="shared" si="8"/>
        <v>447</v>
      </c>
      <c r="D89">
        <f t="shared" si="5"/>
        <v>1680</v>
      </c>
      <c r="E89" s="3">
        <v>840</v>
      </c>
      <c r="F89">
        <f>IF(C89=0, Parametri!$D$8, ABS(B89-C89)/(2*SQRT(3)))</f>
        <v>0.11547005383792516</v>
      </c>
      <c r="G89">
        <f>(A89-335)+135.8+(Parametri!$A$5/2)</f>
        <v>256.3</v>
      </c>
      <c r="H89" s="3">
        <f>(E89-192)-('Dati (2)'!A89-Parametri!$A$11)+Parametri!$A$2</f>
        <v>436</v>
      </c>
      <c r="I89">
        <f t="shared" si="6"/>
        <v>0.11547005383792516</v>
      </c>
      <c r="J89">
        <f>Parametri!$D$8</f>
        <v>0.11547005383792516</v>
      </c>
    </row>
    <row r="90" spans="1:10" x14ac:dyDescent="0.3">
      <c r="A90" s="2">
        <f>A89+7</f>
        <v>454</v>
      </c>
      <c r="D90">
        <f t="shared" si="5"/>
        <v>1680</v>
      </c>
      <c r="E90" s="3">
        <v>840</v>
      </c>
      <c r="F90">
        <f>IF(C90=0, Parametri!$D$8, ABS(B90-C90)/(2*SQRT(3)))</f>
        <v>0.11547005383792516</v>
      </c>
      <c r="G90">
        <f>(A90-335)+135.8+(Parametri!$A$5/2)</f>
        <v>263.3</v>
      </c>
      <c r="H90" s="3">
        <f>(E90-192)-('Dati (2)'!A90-Parametri!$A$11)+Parametri!$A$2</f>
        <v>429</v>
      </c>
      <c r="I90">
        <f t="shared" si="6"/>
        <v>0.11547005383792516</v>
      </c>
      <c r="J90">
        <f>Parametri!$D$8</f>
        <v>0.11547005383792516</v>
      </c>
    </row>
    <row r="91" spans="1:10" x14ac:dyDescent="0.3">
      <c r="A91" s="2">
        <f>A90+7</f>
        <v>461</v>
      </c>
      <c r="D91">
        <f t="shared" si="5"/>
        <v>1683</v>
      </c>
      <c r="E91" s="3">
        <v>841.5</v>
      </c>
      <c r="F91">
        <f>IF(C91=0, Parametri!$D$8, ABS(B91-C91)/(2*SQRT(3)))</f>
        <v>0.11547005383792516</v>
      </c>
      <c r="G91">
        <f>(A91-335)+135.8+(Parametri!$A$5/2)</f>
        <v>270.3</v>
      </c>
      <c r="H91" s="3">
        <f>(E91-192)-('Dati (2)'!A91-Parametri!$A$11)+Parametri!$A$2</f>
        <v>423.5</v>
      </c>
      <c r="I91">
        <f t="shared" si="6"/>
        <v>0.11547005383792516</v>
      </c>
      <c r="J91">
        <f>Parametri!$D$8</f>
        <v>0.11547005383792516</v>
      </c>
    </row>
    <row r="92" spans="1:10" x14ac:dyDescent="0.3">
      <c r="A92" s="2">
        <f>A91+7</f>
        <v>468</v>
      </c>
      <c r="D92">
        <f t="shared" si="5"/>
        <v>1692</v>
      </c>
      <c r="E92" s="3">
        <v>846</v>
      </c>
      <c r="F92">
        <f>IF(C92=0, Parametri!$D$8, ABS(B92-C92)/(2*SQRT(3)))</f>
        <v>0.11547005383792516</v>
      </c>
      <c r="G92">
        <f>(A92-335)+135.8+(Parametri!$A$5/2)</f>
        <v>277.3</v>
      </c>
      <c r="H92" s="3">
        <f>(E92-192)-('Dati (2)'!A92-Parametri!$A$11)+Parametri!$A$2</f>
        <v>421</v>
      </c>
      <c r="I92">
        <f t="shared" si="6"/>
        <v>0.11547005383792516</v>
      </c>
      <c r="J92">
        <f>Parametri!$D$8</f>
        <v>0.11547005383792516</v>
      </c>
    </row>
    <row r="93" spans="1:10" x14ac:dyDescent="0.3">
      <c r="A93" s="2">
        <f>A92+7</f>
        <v>475</v>
      </c>
      <c r="D93">
        <f t="shared" si="5"/>
        <v>1689</v>
      </c>
      <c r="E93" s="3">
        <v>844.5</v>
      </c>
      <c r="F93">
        <f>IF(C93=0, Parametri!$D$8, ABS(B93-C93)/(2*SQRT(3)))</f>
        <v>0.11547005383792516</v>
      </c>
      <c r="G93">
        <f>(A93-335)+135.8+(Parametri!$A$5/2)</f>
        <v>284.3</v>
      </c>
      <c r="H93" s="3">
        <f>(E93-192)-('Dati (2)'!A93-Parametri!$A$11)+Parametri!$A$2</f>
        <v>412.5</v>
      </c>
      <c r="I93">
        <f t="shared" si="6"/>
        <v>0.11547005383792516</v>
      </c>
      <c r="J93">
        <f>Parametri!$D$8</f>
        <v>0.11547005383792516</v>
      </c>
    </row>
    <row r="94" spans="1:10" x14ac:dyDescent="0.3">
      <c r="A94" s="2">
        <f>A93+10</f>
        <v>485</v>
      </c>
      <c r="D94">
        <f t="shared" si="5"/>
        <v>1700</v>
      </c>
      <c r="E94" s="3">
        <v>850</v>
      </c>
      <c r="F94">
        <f>IF(C94=0, Parametri!$D$8, ABS(B94-C94)/(2*SQRT(3)))</f>
        <v>0.11547005383792516</v>
      </c>
      <c r="G94">
        <f>(A94-335)+135.8+(Parametri!$A$5/2)</f>
        <v>294.3</v>
      </c>
      <c r="H94" s="3">
        <f>(E94-192)-('Dati (2)'!A94-Parametri!$A$11)+Parametri!$A$2</f>
        <v>408</v>
      </c>
      <c r="I94">
        <f t="shared" si="6"/>
        <v>0.11547005383792516</v>
      </c>
      <c r="J94">
        <f>Parametri!$D$8</f>
        <v>0.11547005383792516</v>
      </c>
    </row>
    <row r="95" spans="1:10" x14ac:dyDescent="0.3">
      <c r="A95" s="2">
        <f t="shared" ref="A95:A103" si="9">A94+10</f>
        <v>495</v>
      </c>
      <c r="D95">
        <f t="shared" si="5"/>
        <v>1706</v>
      </c>
      <c r="E95" s="3">
        <v>853</v>
      </c>
      <c r="F95">
        <f>IF(C95=0, Parametri!$D$8, ABS(B95-C95)/(2*SQRT(3)))</f>
        <v>0.11547005383792516</v>
      </c>
      <c r="G95">
        <f>(A95-335)+135.8+(Parametri!$A$5/2)</f>
        <v>304.3</v>
      </c>
      <c r="H95" s="3">
        <f>(E95-192)-('Dati (2)'!A95-Parametri!$A$11)+Parametri!$A$2</f>
        <v>401</v>
      </c>
      <c r="I95">
        <f t="shared" si="6"/>
        <v>0.11547005383792516</v>
      </c>
      <c r="J95">
        <f>Parametri!$D$8</f>
        <v>0.11547005383792516</v>
      </c>
    </row>
    <row r="96" spans="1:10" x14ac:dyDescent="0.3">
      <c r="A96" s="2">
        <f t="shared" si="9"/>
        <v>505</v>
      </c>
      <c r="D96">
        <f t="shared" si="5"/>
        <v>1712</v>
      </c>
      <c r="E96" s="3">
        <v>856</v>
      </c>
      <c r="F96">
        <f>IF(C96=0, Parametri!$D$8, ABS(B96-C96)/(2*SQRT(3)))</f>
        <v>0.11547005383792516</v>
      </c>
      <c r="G96">
        <f>(A96-335)+135.8+(Parametri!$A$5/2)</f>
        <v>314.3</v>
      </c>
      <c r="H96" s="3">
        <f>(E96-192)-('Dati (2)'!A96-Parametri!$A$11)+Parametri!$A$2</f>
        <v>394</v>
      </c>
      <c r="I96">
        <f t="shared" si="6"/>
        <v>0.11547005383792516</v>
      </c>
      <c r="J96">
        <f>Parametri!$D$8</f>
        <v>0.11547005383792516</v>
      </c>
    </row>
    <row r="97" spans="1:10" x14ac:dyDescent="0.3">
      <c r="A97" s="2">
        <f t="shared" si="9"/>
        <v>515</v>
      </c>
      <c r="D97">
        <f t="shared" si="5"/>
        <v>1718</v>
      </c>
      <c r="E97" s="3">
        <v>859</v>
      </c>
      <c r="F97">
        <f>IF(C97=0, Parametri!$D$8, ABS(B97-C97)/(2*SQRT(3)))</f>
        <v>0.11547005383792516</v>
      </c>
      <c r="G97">
        <f>(A97-335)+135.8+(Parametri!$A$5/2)</f>
        <v>324.3</v>
      </c>
      <c r="H97" s="3">
        <f>(E97-192)-('Dati (2)'!A97-Parametri!$A$11)+Parametri!$A$2</f>
        <v>387</v>
      </c>
      <c r="I97">
        <f t="shared" si="6"/>
        <v>0.11547005383792516</v>
      </c>
      <c r="J97">
        <f>Parametri!$D$8</f>
        <v>0.11547005383792516</v>
      </c>
    </row>
    <row r="98" spans="1:10" x14ac:dyDescent="0.3">
      <c r="A98" s="2">
        <f t="shared" si="9"/>
        <v>525</v>
      </c>
      <c r="D98">
        <f t="shared" si="5"/>
        <v>1717</v>
      </c>
      <c r="E98" s="3">
        <v>858.5</v>
      </c>
      <c r="F98">
        <f>IF(C98=0, Parametri!$D$8, ABS(B98-C98)/(2*SQRT(3)))</f>
        <v>0.11547005383792516</v>
      </c>
      <c r="G98">
        <f>(A98-335)+135.8+(Parametri!$A$5/2)</f>
        <v>334.3</v>
      </c>
      <c r="H98" s="3">
        <f>(E98-192)-('Dati (2)'!A98-Parametri!$A$11)+Parametri!$A$2</f>
        <v>376.5</v>
      </c>
      <c r="I98">
        <f t="shared" si="6"/>
        <v>0.11547005383792516</v>
      </c>
      <c r="J98">
        <f>Parametri!$D$8</f>
        <v>0.11547005383792516</v>
      </c>
    </row>
    <row r="99" spans="1:10" x14ac:dyDescent="0.3">
      <c r="A99" s="2">
        <f t="shared" si="9"/>
        <v>535</v>
      </c>
      <c r="D99">
        <f t="shared" si="5"/>
        <v>1749</v>
      </c>
      <c r="E99" s="3">
        <v>874.5</v>
      </c>
      <c r="F99">
        <f>IF(C99=0, Parametri!$D$8, ABS(B99-C99)/(2*SQRT(3)))</f>
        <v>0.11547005383792516</v>
      </c>
      <c r="G99">
        <f>(A99-335)+135.8+(Parametri!$A$5/2)</f>
        <v>344.3</v>
      </c>
      <c r="H99" s="3">
        <f>(E99-192)-('Dati (2)'!A99-Parametri!$A$11)+Parametri!$A$2</f>
        <v>382.5</v>
      </c>
      <c r="I99">
        <f t="shared" si="6"/>
        <v>0.11547005383792516</v>
      </c>
      <c r="J99">
        <f>Parametri!$D$8</f>
        <v>0.11547005383792516</v>
      </c>
    </row>
    <row r="100" spans="1:10" x14ac:dyDescent="0.3">
      <c r="A100" s="2">
        <f t="shared" si="9"/>
        <v>545</v>
      </c>
      <c r="D100">
        <f t="shared" si="5"/>
        <v>1753</v>
      </c>
      <c r="E100" s="3">
        <v>876.5</v>
      </c>
      <c r="F100">
        <f>IF(C100=0, Parametri!$D$8, ABS(B100-C100)/(2*SQRT(3)))</f>
        <v>0.11547005383792516</v>
      </c>
      <c r="G100">
        <f>(A100-335)+135.8+(Parametri!$A$5/2)</f>
        <v>354.3</v>
      </c>
      <c r="H100" s="3">
        <f>(E100-192)-('Dati (2)'!A100-Parametri!$A$11)+Parametri!$A$2</f>
        <v>374.5</v>
      </c>
      <c r="I100">
        <f t="shared" si="6"/>
        <v>0.11547005383792516</v>
      </c>
      <c r="J100">
        <f>Parametri!$D$8</f>
        <v>0.11547005383792516</v>
      </c>
    </row>
    <row r="101" spans="1:10" x14ac:dyDescent="0.3">
      <c r="A101" s="2">
        <f t="shared" si="9"/>
        <v>555</v>
      </c>
      <c r="D101">
        <f t="shared" si="5"/>
        <v>1768</v>
      </c>
      <c r="E101" s="3">
        <v>884</v>
      </c>
      <c r="F101">
        <f>IF(C101=0, Parametri!$D$8, ABS(B101-C101)/(2*SQRT(3)))</f>
        <v>0.11547005383792516</v>
      </c>
      <c r="G101">
        <f>(A101-335)+135.8+(Parametri!$A$5/2)</f>
        <v>364.3</v>
      </c>
      <c r="H101" s="3">
        <f>(E101-192)-('Dati (2)'!A101-Parametri!$A$11)+Parametri!$A$2</f>
        <v>372</v>
      </c>
      <c r="I101">
        <f t="shared" si="6"/>
        <v>0.11547005383792516</v>
      </c>
      <c r="J101">
        <f>Parametri!$D$8</f>
        <v>0.11547005383792516</v>
      </c>
    </row>
    <row r="102" spans="1:10" x14ac:dyDescent="0.3">
      <c r="A102" s="2">
        <f t="shared" si="9"/>
        <v>565</v>
      </c>
      <c r="D102">
        <f t="shared" si="5"/>
        <v>1778</v>
      </c>
      <c r="E102" s="3">
        <v>889</v>
      </c>
      <c r="F102">
        <f>IF(C102=0, Parametri!$D$8, ABS(B102-C102)/(2*SQRT(3)))</f>
        <v>0.11547005383792516</v>
      </c>
      <c r="G102">
        <f>(A102-335)+135.8+(Parametri!$A$5/2)</f>
        <v>374.3</v>
      </c>
      <c r="H102" s="3">
        <f>(E102-192)-('Dati (2)'!A102-Parametri!$A$11)+Parametri!$A$2</f>
        <v>367</v>
      </c>
      <c r="I102">
        <f t="shared" si="6"/>
        <v>0.11547005383792516</v>
      </c>
      <c r="J102">
        <f>Parametri!$D$8</f>
        <v>0.11547005383792516</v>
      </c>
    </row>
    <row r="103" spans="1:10" x14ac:dyDescent="0.3">
      <c r="A103" s="2">
        <f t="shared" si="9"/>
        <v>575</v>
      </c>
      <c r="D103">
        <f t="shared" si="5"/>
        <v>1789</v>
      </c>
      <c r="E103" s="3">
        <v>894.5</v>
      </c>
      <c r="F103">
        <f>IF(C103=0, Parametri!$D$8, ABS(B103-C103)/(2*SQRT(3)))</f>
        <v>0.11547005383792516</v>
      </c>
      <c r="G103">
        <f>(A103-335)+135.8+(Parametri!$A$5/2)</f>
        <v>384.3</v>
      </c>
      <c r="H103" s="3">
        <f>(E103-192)-('Dati (2)'!A103-Parametri!$A$11)+Parametri!$A$2</f>
        <v>362.5</v>
      </c>
      <c r="I103">
        <f t="shared" si="6"/>
        <v>0.11547005383792516</v>
      </c>
      <c r="J103">
        <f>Parametri!$D$8</f>
        <v>0.11547005383792516</v>
      </c>
    </row>
    <row r="104" spans="1:10" x14ac:dyDescent="0.3">
      <c r="A104" s="2">
        <f>A103+20</f>
        <v>595</v>
      </c>
      <c r="D104">
        <f t="shared" si="5"/>
        <v>1813</v>
      </c>
      <c r="E104" s="3">
        <v>906.5</v>
      </c>
      <c r="F104">
        <f>IF(C104=0, Parametri!$D$8, ABS(B104-C104)/(2*SQRT(3)))</f>
        <v>0.11547005383792516</v>
      </c>
      <c r="G104">
        <f>(A104-335)+135.8+(Parametri!$A$5/2)</f>
        <v>404.3</v>
      </c>
      <c r="H104" s="3">
        <f>(E104-192)-('Dati (2)'!A104-Parametri!$A$11)+Parametri!$A$2</f>
        <v>354.5</v>
      </c>
      <c r="I104">
        <f t="shared" si="6"/>
        <v>0.11547005383792516</v>
      </c>
      <c r="J104">
        <f>Parametri!$D$8</f>
        <v>0.11547005383792516</v>
      </c>
    </row>
    <row r="105" spans="1:10" x14ac:dyDescent="0.3">
      <c r="A105" s="2">
        <f t="shared" ref="A105:A113" si="10">A104+20</f>
        <v>615</v>
      </c>
      <c r="D105">
        <f t="shared" si="5"/>
        <v>1849</v>
      </c>
      <c r="E105" s="3">
        <v>924.5</v>
      </c>
      <c r="F105">
        <f>IF(C105=0, Parametri!$D$8, ABS(B105-C105)/(2*SQRT(3)))</f>
        <v>0.11547005383792516</v>
      </c>
      <c r="G105">
        <f>(A105-335)+135.8+(Parametri!$A$5/2)</f>
        <v>424.3</v>
      </c>
      <c r="H105" s="3">
        <f>(E105-192)-('Dati (2)'!A105-Parametri!$A$11)+Parametri!$A$2</f>
        <v>352.5</v>
      </c>
      <c r="I105">
        <f t="shared" si="6"/>
        <v>0.11547005383792516</v>
      </c>
      <c r="J105">
        <f>Parametri!$D$8</f>
        <v>0.11547005383792516</v>
      </c>
    </row>
    <row r="106" spans="1:10" x14ac:dyDescent="0.3">
      <c r="A106" s="2">
        <f t="shared" si="10"/>
        <v>635</v>
      </c>
      <c r="D106">
        <f t="shared" si="5"/>
        <v>1875</v>
      </c>
      <c r="E106" s="3">
        <v>937.5</v>
      </c>
      <c r="F106">
        <f>IF(C106=0, Parametri!$D$8, ABS(B106-C106)/(2*SQRT(3)))</f>
        <v>0.11547005383792516</v>
      </c>
      <c r="G106">
        <f>(A106-335)+135.8+(Parametri!$A$5/2)</f>
        <v>444.3</v>
      </c>
      <c r="H106" s="3">
        <f>(E106-192)-('Dati (2)'!A106-Parametri!$A$11)+Parametri!$A$2</f>
        <v>345.5</v>
      </c>
      <c r="I106">
        <f t="shared" si="6"/>
        <v>0.11547005383792516</v>
      </c>
      <c r="J106">
        <f>Parametri!$D$8</f>
        <v>0.11547005383792516</v>
      </c>
    </row>
    <row r="107" spans="1:10" x14ac:dyDescent="0.3">
      <c r="A107" s="2">
        <f t="shared" si="10"/>
        <v>655</v>
      </c>
      <c r="D107">
        <f t="shared" si="5"/>
        <v>1904</v>
      </c>
      <c r="E107" s="3">
        <v>952</v>
      </c>
      <c r="F107">
        <f>IF(C107=0, Parametri!$D$8, ABS(B107-C107)/(2*SQRT(3)))</f>
        <v>0.11547005383792516</v>
      </c>
      <c r="G107">
        <f>(A107-335)+135.8+(Parametri!$A$5/2)</f>
        <v>464.3</v>
      </c>
      <c r="H107" s="3">
        <f>(E107-192)-('Dati (2)'!A107-Parametri!$A$11)+Parametri!$A$2</f>
        <v>340</v>
      </c>
      <c r="I107">
        <f t="shared" si="6"/>
        <v>0.11547005383792516</v>
      </c>
      <c r="J107">
        <f>Parametri!$D$8</f>
        <v>0.11547005383792516</v>
      </c>
    </row>
    <row r="108" spans="1:10" x14ac:dyDescent="0.3">
      <c r="A108" s="2">
        <f t="shared" si="10"/>
        <v>675</v>
      </c>
      <c r="D108">
        <f t="shared" si="5"/>
        <v>1937</v>
      </c>
      <c r="E108" s="3">
        <v>968.5</v>
      </c>
      <c r="F108">
        <f>IF(C108=0, Parametri!$D$8, ABS(B108-C108)/(2*SQRT(3)))</f>
        <v>0.11547005383792516</v>
      </c>
      <c r="G108">
        <f>(A108-335)+135.8+(Parametri!$A$5/2)</f>
        <v>484.3</v>
      </c>
      <c r="H108" s="3">
        <f>(E108-192)-('Dati (2)'!A108-Parametri!$A$11)+Parametri!$A$2</f>
        <v>336.5</v>
      </c>
      <c r="I108">
        <f t="shared" si="6"/>
        <v>0.11547005383792516</v>
      </c>
      <c r="J108">
        <f>Parametri!$D$8</f>
        <v>0.11547005383792516</v>
      </c>
    </row>
    <row r="109" spans="1:10" x14ac:dyDescent="0.3">
      <c r="A109" s="2">
        <f t="shared" si="10"/>
        <v>695</v>
      </c>
      <c r="D109">
        <f t="shared" si="5"/>
        <v>1969</v>
      </c>
      <c r="E109" s="3">
        <v>984.5</v>
      </c>
      <c r="F109">
        <f>IF(C109=0, Parametri!$D$8, ABS(B109-C109)/(2*SQRT(3)))</f>
        <v>0.11547005383792516</v>
      </c>
      <c r="G109">
        <f>(A109-335)+135.8+(Parametri!$A$5/2)</f>
        <v>504.3</v>
      </c>
      <c r="H109" s="3">
        <f>(E109-192)-('Dati (2)'!A109-Parametri!$A$11)+Parametri!$A$2</f>
        <v>332.5</v>
      </c>
      <c r="I109">
        <f t="shared" si="6"/>
        <v>0.11547005383792516</v>
      </c>
      <c r="J109">
        <f>Parametri!$D$8</f>
        <v>0.11547005383792516</v>
      </c>
    </row>
    <row r="110" spans="1:10" x14ac:dyDescent="0.3">
      <c r="A110" s="2">
        <f t="shared" si="10"/>
        <v>715</v>
      </c>
      <c r="D110">
        <f t="shared" si="5"/>
        <v>2002</v>
      </c>
      <c r="E110" s="3">
        <v>1001</v>
      </c>
      <c r="F110">
        <f>IF(C110=0, Parametri!$D$8, ABS(B110-C110)/(2*SQRT(3)))</f>
        <v>0.11547005383792516</v>
      </c>
      <c r="G110">
        <f>(A110-335)+135.8+(Parametri!$A$5/2)</f>
        <v>524.29999999999995</v>
      </c>
      <c r="H110" s="3">
        <f>(E110-192)-('Dati (2)'!A110-Parametri!$A$11)+Parametri!$A$2</f>
        <v>329</v>
      </c>
      <c r="I110">
        <f t="shared" si="6"/>
        <v>0.11547005383792516</v>
      </c>
      <c r="J110">
        <f>Parametri!$D$8</f>
        <v>0.11547005383792516</v>
      </c>
    </row>
    <row r="111" spans="1:10" x14ac:dyDescent="0.3">
      <c r="A111" s="2">
        <f t="shared" si="10"/>
        <v>735</v>
      </c>
      <c r="D111">
        <f t="shared" si="5"/>
        <v>2034</v>
      </c>
      <c r="E111" s="3">
        <v>1017</v>
      </c>
      <c r="F111">
        <f>IF(C111=0, Parametri!$D$8, ABS(B111-C111)/(2*SQRT(3)))</f>
        <v>0.11547005383792516</v>
      </c>
      <c r="G111">
        <f>(A111-335)+135.8+(Parametri!$A$5/2)</f>
        <v>544.29999999999995</v>
      </c>
      <c r="H111" s="3">
        <f>(E111-192)-('Dati (2)'!A111-Parametri!$A$11)+Parametri!$A$2</f>
        <v>325</v>
      </c>
      <c r="I111">
        <f t="shared" si="6"/>
        <v>0.11547005383792516</v>
      </c>
      <c r="J111">
        <f>Parametri!$D$8</f>
        <v>0.11547005383792516</v>
      </c>
    </row>
    <row r="112" spans="1:10" x14ac:dyDescent="0.3">
      <c r="A112" s="2">
        <f t="shared" si="10"/>
        <v>755</v>
      </c>
      <c r="D112">
        <f t="shared" si="5"/>
        <v>2067</v>
      </c>
      <c r="E112" s="3">
        <v>1033.5</v>
      </c>
      <c r="F112">
        <f>IF(C112=0, Parametri!$D$8, ABS(B112-C112)/(2*SQRT(3)))</f>
        <v>0.11547005383792516</v>
      </c>
      <c r="G112">
        <f>(A112-335)+135.8+(Parametri!$A$5/2)</f>
        <v>564.29999999999995</v>
      </c>
      <c r="H112" s="3">
        <f>(E112-192)-('Dati (2)'!A112-Parametri!$A$11)+Parametri!$A$2</f>
        <v>321.5</v>
      </c>
      <c r="I112">
        <f t="shared" si="6"/>
        <v>0.11547005383792516</v>
      </c>
      <c r="J112">
        <f>Parametri!$D$8</f>
        <v>0.11547005383792516</v>
      </c>
    </row>
    <row r="113" spans="1:10" x14ac:dyDescent="0.3">
      <c r="A113" s="2">
        <f t="shared" si="10"/>
        <v>775</v>
      </c>
      <c r="D113">
        <f t="shared" si="5"/>
        <v>2100</v>
      </c>
      <c r="E113" s="3">
        <v>1050</v>
      </c>
      <c r="F113">
        <f>IF(C113=0, Parametri!$D$8, ABS(B113-C113)/(2*SQRT(3)))</f>
        <v>0.11547005383792516</v>
      </c>
      <c r="G113">
        <f>(A113-335)+135.8+(Parametri!$A$5/2)</f>
        <v>584.29999999999995</v>
      </c>
      <c r="H113" s="3">
        <f>(E113-192)-('Dati (2)'!A113-Parametri!$A$11)+Parametri!$A$2</f>
        <v>318</v>
      </c>
      <c r="I113">
        <f t="shared" si="6"/>
        <v>0.11547005383792516</v>
      </c>
      <c r="J113">
        <f>Parametri!$D$8</f>
        <v>0.11547005383792516</v>
      </c>
    </row>
    <row r="114" spans="1:10" x14ac:dyDescent="0.3">
      <c r="A114" s="2">
        <f t="shared" ref="A114:A119" si="11">A113+50</f>
        <v>825</v>
      </c>
      <c r="D114">
        <f t="shared" si="5"/>
        <v>2187</v>
      </c>
      <c r="E114" s="3">
        <v>1093.5</v>
      </c>
      <c r="F114">
        <f>IF(C114=0, Parametri!$D$8, ABS(B114-C114)/(2*SQRT(3)))</f>
        <v>0.11547005383792516</v>
      </c>
      <c r="G114">
        <f>(A114-335)+135.8+(Parametri!$A$5/2)</f>
        <v>634.29999999999995</v>
      </c>
      <c r="H114" s="3">
        <f>(E114-192)-('Dati (2)'!A114-Parametri!$A$11)+Parametri!$A$2</f>
        <v>311.5</v>
      </c>
      <c r="I114">
        <f t="shared" si="6"/>
        <v>0.11547005383792516</v>
      </c>
      <c r="J114">
        <f>Parametri!$D$8</f>
        <v>0.11547005383792516</v>
      </c>
    </row>
    <row r="115" spans="1:10" x14ac:dyDescent="0.3">
      <c r="A115" s="2">
        <f t="shared" si="11"/>
        <v>875</v>
      </c>
      <c r="D115">
        <f t="shared" si="5"/>
        <v>2276</v>
      </c>
      <c r="E115" s="3">
        <v>1138</v>
      </c>
      <c r="F115">
        <f>IF(C115=0, Parametri!$D$8, ABS(B115-C115)/(2*SQRT(3)))</f>
        <v>0.11547005383792516</v>
      </c>
      <c r="G115">
        <f>(A115-335)+135.8+(Parametri!$A$5/2)</f>
        <v>684.3</v>
      </c>
      <c r="H115" s="3">
        <f>(E115-192)-('Dati (2)'!A115-Parametri!$A$11)+Parametri!$A$2</f>
        <v>306</v>
      </c>
      <c r="I115">
        <f t="shared" si="6"/>
        <v>0.11547005383792516</v>
      </c>
      <c r="J115">
        <f>Parametri!$D$8</f>
        <v>0.11547005383792516</v>
      </c>
    </row>
    <row r="116" spans="1:10" x14ac:dyDescent="0.3">
      <c r="A116" s="2">
        <f t="shared" si="11"/>
        <v>925</v>
      </c>
      <c r="D116">
        <f t="shared" si="5"/>
        <v>2369</v>
      </c>
      <c r="E116" s="3">
        <v>1184.5</v>
      </c>
      <c r="F116">
        <f>IF(C116=0, Parametri!$D$8, ABS(B116-C116)/(2*SQRT(3)))</f>
        <v>0.11547005383792516</v>
      </c>
      <c r="G116">
        <f>(A116-335)+135.8+(Parametri!$A$5/2)</f>
        <v>734.3</v>
      </c>
      <c r="H116" s="3">
        <f>(E116-192)-('Dati (2)'!A116-Parametri!$A$11)+Parametri!$A$2</f>
        <v>302.5</v>
      </c>
      <c r="I116">
        <f t="shared" si="6"/>
        <v>0.11547005383792516</v>
      </c>
      <c r="J116">
        <f>Parametri!$D$8</f>
        <v>0.11547005383792516</v>
      </c>
    </row>
    <row r="117" spans="1:10" x14ac:dyDescent="0.3">
      <c r="A117" s="2">
        <f t="shared" si="11"/>
        <v>975</v>
      </c>
      <c r="D117">
        <f t="shared" si="5"/>
        <v>2456</v>
      </c>
      <c r="E117" s="3">
        <v>1228</v>
      </c>
      <c r="F117">
        <f>IF(C117=0, Parametri!$D$8, ABS(B117-C117)/(2*SQRT(3)))</f>
        <v>0.11547005383792516</v>
      </c>
      <c r="G117">
        <f>(A117-335)+135.8+(Parametri!$A$5/2)</f>
        <v>784.3</v>
      </c>
      <c r="H117" s="3">
        <f>(E117-192)-('Dati (2)'!A117-Parametri!$A$11)+Parametri!$A$2</f>
        <v>296</v>
      </c>
      <c r="I117">
        <f t="shared" si="6"/>
        <v>0.11547005383792516</v>
      </c>
      <c r="J117">
        <f>Parametri!$D$8</f>
        <v>0.11547005383792516</v>
      </c>
    </row>
    <row r="118" spans="1:10" x14ac:dyDescent="0.3">
      <c r="A118" s="2">
        <f t="shared" si="11"/>
        <v>1025</v>
      </c>
      <c r="D118">
        <f t="shared" si="5"/>
        <v>2550</v>
      </c>
      <c r="E118" s="3">
        <v>1275</v>
      </c>
      <c r="F118">
        <f>IF(C118=0, Parametri!$D$8, ABS(B118-C118)/(2*SQRT(3)))</f>
        <v>0.11547005383792516</v>
      </c>
      <c r="G118">
        <f>(A118-335)+135.8+(Parametri!$A$5/2)</f>
        <v>834.3</v>
      </c>
      <c r="H118" s="3">
        <f>(E118-192)-('Dati (2)'!A118-Parametri!$A$11)+Parametri!$A$2</f>
        <v>293</v>
      </c>
      <c r="I118">
        <f t="shared" si="6"/>
        <v>0.11547005383792516</v>
      </c>
      <c r="J118">
        <f>Parametri!$D$8</f>
        <v>0.11547005383792516</v>
      </c>
    </row>
    <row r="119" spans="1:10" x14ac:dyDescent="0.3">
      <c r="A119" s="2">
        <f t="shared" si="11"/>
        <v>1075</v>
      </c>
      <c r="D119">
        <f t="shared" si="5"/>
        <v>2646</v>
      </c>
      <c r="E119" s="3">
        <v>1323</v>
      </c>
      <c r="F119">
        <f>IF(C119=0, Parametri!$D$8, ABS(B119-C119)/(2*SQRT(3)))</f>
        <v>0.11547005383792516</v>
      </c>
      <c r="G119">
        <f>(A119-335)+135.8+(Parametri!$A$5/2)</f>
        <v>884.3</v>
      </c>
      <c r="H119" s="3">
        <f>(E119-192)-('Dati (2)'!A119-Parametri!$A$11)+Parametri!$A$2</f>
        <v>291</v>
      </c>
      <c r="I119">
        <f t="shared" si="6"/>
        <v>0.11547005383792516</v>
      </c>
      <c r="J119">
        <f>Parametri!$D$8</f>
        <v>0.11547005383792516</v>
      </c>
    </row>
    <row r="120" spans="1:10" x14ac:dyDescent="0.3">
      <c r="A120" s="2">
        <f t="shared" ref="A120:A125" si="12">A119+100</f>
        <v>1175</v>
      </c>
      <c r="D120">
        <f t="shared" si="5"/>
        <v>2836</v>
      </c>
      <c r="E120" s="3">
        <v>1418</v>
      </c>
      <c r="F120">
        <f>IF(C120=0, Parametri!$D$8, ABS(B120-C120)/(2*SQRT(3)))</f>
        <v>0.11547005383792516</v>
      </c>
      <c r="G120">
        <f>(A120-335)+135.8+(Parametri!$A$5/2)</f>
        <v>984.3</v>
      </c>
      <c r="H120" s="3">
        <f>(E120-192)-('Dati (2)'!A120-Parametri!$A$11)+Parametri!$A$2</f>
        <v>286</v>
      </c>
      <c r="I120">
        <f t="shared" si="6"/>
        <v>0.11547005383792516</v>
      </c>
      <c r="J120">
        <f>Parametri!$D$8</f>
        <v>0.11547005383792516</v>
      </c>
    </row>
    <row r="121" spans="1:10" x14ac:dyDescent="0.3">
      <c r="A121" s="2">
        <f t="shared" si="12"/>
        <v>1275</v>
      </c>
      <c r="D121">
        <f t="shared" si="5"/>
        <v>3020</v>
      </c>
      <c r="E121" s="3">
        <v>1510</v>
      </c>
      <c r="F121">
        <f>IF(C121=0, Parametri!$D$8, ABS(B121-C121)/(2*SQRT(3)))</f>
        <v>0.11547005383792516</v>
      </c>
      <c r="G121">
        <f>(A121-335)+135.8+(Parametri!$A$5/2)</f>
        <v>1084.3</v>
      </c>
      <c r="H121" s="3">
        <f>(E121-192)-('Dati (2)'!A121-Parametri!$A$11)+Parametri!$A$2</f>
        <v>278</v>
      </c>
      <c r="I121">
        <f t="shared" si="6"/>
        <v>0.11547005383792516</v>
      </c>
      <c r="J121">
        <f>Parametri!$D$8</f>
        <v>0.11547005383792516</v>
      </c>
    </row>
    <row r="122" spans="1:10" x14ac:dyDescent="0.3">
      <c r="A122" s="2">
        <f t="shared" si="12"/>
        <v>1375</v>
      </c>
      <c r="D122">
        <f t="shared" si="5"/>
        <v>3218</v>
      </c>
      <c r="E122" s="3">
        <v>1609</v>
      </c>
      <c r="F122">
        <f>IF(C122=0, Parametri!$D$8, ABS(B122-C122)/(2*SQRT(3)))</f>
        <v>0.11547005383792516</v>
      </c>
      <c r="G122">
        <f>(A122-335)+135.8+(Parametri!$A$5/2)</f>
        <v>1184.3</v>
      </c>
      <c r="H122" s="3">
        <f>(E122-192)-('Dati (2)'!A122-Parametri!$A$11)+Parametri!$A$2</f>
        <v>277</v>
      </c>
      <c r="I122">
        <f t="shared" si="6"/>
        <v>0.11547005383792516</v>
      </c>
      <c r="J122">
        <f>Parametri!$D$8</f>
        <v>0.11547005383792516</v>
      </c>
    </row>
    <row r="123" spans="1:10" x14ac:dyDescent="0.3">
      <c r="A123" s="2">
        <f t="shared" si="12"/>
        <v>1475</v>
      </c>
      <c r="D123">
        <f t="shared" si="5"/>
        <v>3414</v>
      </c>
      <c r="E123" s="3">
        <v>1707</v>
      </c>
      <c r="F123">
        <f>IF(C123=0, Parametri!$D$8, ABS(B123-C123)/(2*SQRT(3)))</f>
        <v>0.11547005383792516</v>
      </c>
      <c r="G123">
        <f>(A123-335)+135.8+(Parametri!$A$5/2)</f>
        <v>1284.3</v>
      </c>
      <c r="H123" s="3">
        <f>(E123-192)-('Dati (2)'!A123-Parametri!$A$11)+Parametri!$A$2</f>
        <v>275</v>
      </c>
      <c r="I123">
        <f t="shared" si="6"/>
        <v>0.11547005383792516</v>
      </c>
      <c r="J123">
        <f>Parametri!$D$8</f>
        <v>0.11547005383792516</v>
      </c>
    </row>
    <row r="124" spans="1:10" x14ac:dyDescent="0.3">
      <c r="A124" s="2">
        <f t="shared" si="12"/>
        <v>1575</v>
      </c>
      <c r="D124">
        <f t="shared" si="5"/>
        <v>3606</v>
      </c>
      <c r="E124" s="3">
        <v>1803</v>
      </c>
      <c r="F124">
        <f>IF(C124=0, Parametri!$D$8, ABS(B124-C124)/(2*SQRT(3)))</f>
        <v>0.11547005383792516</v>
      </c>
      <c r="G124">
        <f>(A124-335)+135.8+(Parametri!$A$5/2)</f>
        <v>1384.3</v>
      </c>
      <c r="H124" s="3">
        <f>(E124-192)-('Dati (2)'!A124-Parametri!$A$11)+Parametri!$A$2</f>
        <v>271</v>
      </c>
      <c r="I124">
        <f t="shared" si="6"/>
        <v>0.11547005383792516</v>
      </c>
      <c r="J124">
        <f>Parametri!$D$8</f>
        <v>0.11547005383792516</v>
      </c>
    </row>
    <row r="125" spans="1:10" x14ac:dyDescent="0.3">
      <c r="A125" s="2">
        <f t="shared" si="12"/>
        <v>1675</v>
      </c>
      <c r="D125">
        <f t="shared" si="5"/>
        <v>3804</v>
      </c>
      <c r="E125" s="3">
        <v>1902</v>
      </c>
      <c r="F125">
        <f>IF(C125=0, Parametri!$D$8, ABS(B125-C125)/(2*SQRT(3)))</f>
        <v>0.11547005383792516</v>
      </c>
      <c r="G125">
        <f>(A125-335)+135.8+(Parametri!$A$5/2)</f>
        <v>1484.3</v>
      </c>
      <c r="H125" s="3">
        <f>(E125-192)-('Dati (2)'!A125-Parametri!$A$11)+Parametri!$A$2</f>
        <v>270</v>
      </c>
      <c r="I125">
        <f t="shared" si="6"/>
        <v>0.11547005383792516</v>
      </c>
      <c r="J125">
        <f>Parametri!$D$8</f>
        <v>0.11547005383792516</v>
      </c>
    </row>
    <row r="126" spans="1:10" x14ac:dyDescent="0.3">
      <c r="H126" s="3"/>
    </row>
    <row r="127" spans="1:10" x14ac:dyDescent="0.3">
      <c r="H127" s="3"/>
    </row>
    <row r="128" spans="1:10" x14ac:dyDescent="0.3">
      <c r="H128" s="3"/>
    </row>
    <row r="129" spans="8:8" x14ac:dyDescent="0.3">
      <c r="H129" s="3"/>
    </row>
    <row r="130" spans="8:8" x14ac:dyDescent="0.3">
      <c r="H130" s="3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e3c69ea4484af81787e2f2ca5b7c2d90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e2990c14f9044d85e8ac9d5a1ddf0edc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50DC1C-3B4F-45D5-BBC6-27ED552170C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21343963-c43f-42a4-b0bc-b203e64410f4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772E113-8687-46B6-B4A0-2A365FDF9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EBBE4C-4513-4684-8667-BB58B10945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Parametri</vt:lpstr>
      <vt:lpstr>Dati</vt:lpstr>
      <vt:lpstr>Dati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mirolo</dc:creator>
  <cp:lastModifiedBy>MIROLO MANUELE [SM2001968]</cp:lastModifiedBy>
  <dcterms:created xsi:type="dcterms:W3CDTF">2015-06-05T18:17:20Z</dcterms:created>
  <dcterms:modified xsi:type="dcterms:W3CDTF">2026-10-16T14:20:07Z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