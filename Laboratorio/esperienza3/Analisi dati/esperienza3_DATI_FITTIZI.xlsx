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Par" sheetId="1" state="visible" r:id="rId3"/>
    <sheet name="Dat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<sst xmlns="http://schemas.openxmlformats.org/spreadsheetml/2006/main" count="19" uniqueCount="18">
  <si>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θ_0</t>
  </si>
  <si>
    <t xml:space="preserve">θ_0 rad</t>
  </si>
  <si>
    <t xml:space="preserve">α</t>
  </si>
  <si>
    <t xml:space="preserve">n</t>
  </si>
  <si>
    <t xml:space="preserve">err_θ</t>
  </si>
  <si>
    <t xml:space="preserve">err_δ</t>
  </si>
  <si>
    <t xml:space="preserve">err_λ</t>
  </si>
  <si>
    <t xml:space="preserve">lambda</t>
  </si>
  <si>
    <t xml:space="preserve">err_lambda</t>
  </si>
  <si>
    <t xml:space="preserve">θ_1</t>
  </si>
  <si>
    <t xml:space="preserve">θ_2</t>
  </si>
  <si>
    <t xml:space="preserve">θ_3</t>
  </si>
  <si>
    <t xml:space="preserve">theta_medio</t>
  </si>
  <si>
    <t xml:space="preserve">theta_med_rad</t>
  </si>
  <si>
    <t xml:space="preserve">err_theta</t>
  </si>
  <si>
    <t xml:space="preserve">δ</t>
  </si>
  <si>
    <t xml:space="preserve">n'</t>
  </si>
  <si>
    <t xml:space="preserve">err_n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</si>
</sst>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Dati!$J$1</c:f>
              <c:strCache>
                <c:ptCount val="1"/>
                <c:pt idx="0">
                  <c:v>n'</c:v>
                </c:pt>
              </c:strCache>
            </c:strRef>
          </c:tx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Dati!$A$2:$A$14</c:f>
              <c:numCache>
                <c:formatCode>General</c:formatCode>
                <c:ptCount val="13"/>
                <c:pt idx="0">
                  <c:v>450</c:v>
                </c:pt>
                <c:pt idx="1">
                  <c:v>470</c:v>
                </c:pt>
                <c:pt idx="2">
                  <c:v>490</c:v>
                </c:pt>
                <c:pt idx="3">
                  <c:v>510</c:v>
                </c:pt>
                <c:pt idx="4">
                  <c:v>530</c:v>
                </c:pt>
                <c:pt idx="5">
                  <c:v>550</c:v>
                </c:pt>
                <c:pt idx="6">
                  <c:v>570</c:v>
                </c:pt>
                <c:pt idx="7">
                  <c:v>589</c:v>
                </c:pt>
                <c:pt idx="8">
                  <c:v>600</c:v>
                </c:pt>
                <c:pt idx="9">
                  <c:v>620</c:v>
                </c:pt>
                <c:pt idx="10">
                  <c:v>640</c:v>
                </c:pt>
                <c:pt idx="11">
                  <c:v>660</c:v>
                </c:pt>
                <c:pt idx="12">
                  <c:v>680</c:v>
                </c:pt>
              </c:numCache>
            </c:numRef>
          </c:xVal>
          <c:yVal>
            <c:numRef>
              <c:f>Dati!$J$2:$J$14</c:f>
              <c:numCache>
                <c:formatCode>General</c:formatCode>
                <c:ptCount val="13"/>
                <c:pt idx="0">
                  <c:v>1.52589530295795</c:v>
                </c:pt>
                <c:pt idx="1">
                  <c:v>1.52394059478996</c:v>
                </c:pt>
                <c:pt idx="2">
                  <c:v>1.52229352174413</c:v>
                </c:pt>
                <c:pt idx="3">
                  <c:v>1.52085158140169</c:v>
                </c:pt>
                <c:pt idx="4">
                  <c:v>1.51951200942838</c:v>
                </c:pt>
                <c:pt idx="5">
                  <c:v>1.51848115869552</c:v>
                </c:pt>
                <c:pt idx="6">
                  <c:v>1.51734681066726</c:v>
                </c:pt>
                <c:pt idx="7">
                  <c:v>1.51672789347022</c:v>
                </c:pt>
                <c:pt idx="8">
                  <c:v>1.5157992770547</c:v>
                </c:pt>
                <c:pt idx="9">
                  <c:v>1.51528325433676</c:v>
                </c:pt>
                <c:pt idx="10">
                  <c:v>1.51466390954554</c:v>
                </c:pt>
                <c:pt idx="11">
                  <c:v>1.51414769098035</c:v>
                </c:pt>
                <c:pt idx="12">
                  <c:v>1.51332155622495</c:v>
                </c:pt>
              </c:numCache>
            </c:numRef>
          </c:yVal>
          <c:smooth val="0"/>
        </c:ser>
        <c:axId val="2636075"/>
        <c:axId val="84004893"/>
      </c:scatterChart>
      <c:valAx>
        <c:axId val="263607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4004893"/>
        <c:crosses val="autoZero"/>
        <c:crossBetween val="midCat"/>
      </c:valAx>
      <c:valAx>
        <c:axId val="840048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63607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99000</xdr:colOff>
      <xdr:row>0</xdr:row>
      <xdr:rowOff>3960</xdr:rowOff>
    </xdr:from>
    <xdr:to>
      <xdr:col>21</xdr:col>
      <xdr:colOff>60480</xdr:colOff>
      <xdr:row>21</xdr:row>
      <xdr:rowOff>99000</xdr:rowOff>
    </xdr:to>
    <xdr:graphicFrame>
      <xdr:nvGraphicFramePr>
        <xdr:cNvPr id="0" name="Chart 1"/>
        <xdr:cNvGraphicFramePr/>
      </xdr:nvGraphicFramePr>
      <xdr:xfrm>
        <a:off x="8722800" y="3960"/>
        <a:ext cx="8720640" cy="409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83203125" defaultRowHeight="15" zeroHeight="false" outlineLevelRow="0" outlineLevelCol="0"/>
  <cols>
    <col collapsed="false" customWidth="false" hidden="false" outlineLevel="0" max="5" min="1" style="1" width="8.8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3" t="n">
        <v>181.25</v>
      </c>
      <c r="B2" s="3" t="n">
        <f aca="false">A2*PI()/180</f>
        <v>3.16340926923972</v>
      </c>
      <c r="C2" s="3" t="n">
        <f aca="false">PI()/4</f>
        <v>0.785398163397448</v>
      </c>
      <c r="D2" s="3" t="n">
        <f aca="false">1.5</f>
        <v>1.5</v>
      </c>
    </row>
    <row r="4" customFormat="false" ht="15" hidden="false" customHeight="false" outlineLevel="0" collapsed="false">
      <c r="A4" s="3" t="s">
        <v>4</v>
      </c>
      <c r="B4" s="3" t="s">
        <v>5</v>
      </c>
    </row>
    <row r="5" customFormat="false" ht="15" hidden="false" customHeight="false" outlineLevel="0" collapsed="false">
      <c r="A5" s="3" t="n">
        <f aca="false">1/(60*SQRT(12))</f>
        <v>0.00481125224324688</v>
      </c>
      <c r="B5" s="3" t="n">
        <f aca="false">SQRT(2)*A5</f>
        <v>0.00680413817439772</v>
      </c>
      <c r="H5" s="1"/>
    </row>
    <row r="6" customFormat="false" ht="15" hidden="false" customHeight="false" outlineLevel="0" collapsed="false">
      <c r="A6" s="3" t="s">
        <v>6</v>
      </c>
    </row>
    <row r="7" customFormat="false" ht="15" hidden="false" customHeight="false" outlineLevel="0" collapsed="false">
      <c r="A7" s="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83203125" defaultRowHeight="15" zeroHeight="false" outlineLevelRow="0" outlineLevelCol="0"/>
  <cols>
    <col collapsed="false" customWidth="false" hidden="false" outlineLevel="0" max="1" min="1" style="1" width="8.83"/>
    <col collapsed="false" customWidth="true" hidden="false" outlineLevel="0" max="2" min="2" style="1" width="10.16"/>
    <col collapsed="false" customWidth="false" hidden="false" outlineLevel="0" max="5" min="3" style="1" width="8.83"/>
    <col collapsed="false" customWidth="true" hidden="false" outlineLevel="0" max="6" min="6" style="1" width="10.83"/>
    <col collapsed="false" customWidth="true" hidden="false" outlineLevel="0" max="7" min="7" style="1" width="12.83"/>
    <col collapsed="false" customWidth="false" hidden="false" outlineLevel="0" max="9" min="8" style="1" width="8.83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5</v>
      </c>
      <c r="L1" s="3" t="s">
        <v>17</v>
      </c>
    </row>
    <row r="2" customFormat="false" ht="15" hidden="false" customHeight="false" outlineLevel="0" collapsed="false">
      <c r="A2" s="3" t="n">
        <v>450</v>
      </c>
      <c r="B2" s="3" t="n">
        <f aca="false">IF(A2=589, 1, Par!$A$7)</f>
        <v>10</v>
      </c>
      <c r="C2" s="3" t="n">
        <v>207.7</v>
      </c>
      <c r="D2" s="3" t="n">
        <v>207.716666666667</v>
      </c>
      <c r="E2" s="3" t="n">
        <v>207.7</v>
      </c>
      <c r="F2" s="3" t="n">
        <f aca="false">AVERAGE(C2:E2)</f>
        <v>207.705555555556</v>
      </c>
      <c r="G2" s="3" t="n">
        <f aca="false">F2*PI()/180</f>
        <v>3.62514581912844</v>
      </c>
      <c r="H2" s="3" t="n">
        <f aca="false">MAX(Par!$A$5,(MAX(C2:E2)-MIN(C2:E2))/2/SQRT(12))</f>
        <v>0.00481125224324688</v>
      </c>
      <c r="I2" s="3" t="n">
        <f aca="false">ABS(G2-Par!$B$2)</f>
        <v>0.461736549888722</v>
      </c>
      <c r="J2" s="4" t="n">
        <f aca="false">SIN((I2+Par!$C$2)/2)/SIN(Par!$C$2/2)</f>
        <v>1.52589530295795</v>
      </c>
      <c r="K2" s="4" t="n">
        <f aca="false">SQRT(H2^2+Par!$A$5^2)*PI()/180</f>
        <v>0.000118754613903876</v>
      </c>
      <c r="L2" s="4" t="n">
        <f aca="false">ABS(COS((I2+Par!$C$2)/2))/(2*SIN(Par!$C$2/2))*K2</f>
        <v>0.000125959277939824</v>
      </c>
    </row>
    <row r="3" customFormat="false" ht="15" hidden="false" customHeight="false" outlineLevel="0" collapsed="false">
      <c r="A3" s="3" t="n">
        <v>470</v>
      </c>
      <c r="B3" s="3" t="n">
        <f aca="false">IF(A3=589, 1, Par!$A$7)</f>
        <v>10</v>
      </c>
      <c r="C3" s="3" t="n">
        <v>207.583333333333</v>
      </c>
      <c r="D3" s="3" t="n">
        <v>207.616666666667</v>
      </c>
      <c r="E3" s="3" t="n">
        <v>207.6</v>
      </c>
      <c r="F3" s="3" t="n">
        <f aca="false">AVERAGE(C3:E3)</f>
        <v>207.6</v>
      </c>
      <c r="G3" s="3" t="n">
        <f aca="false">F3*PI()/180</f>
        <v>3.62330352714023</v>
      </c>
      <c r="H3" s="3" t="n">
        <f aca="false">MAX(Par!$A$5,(MAX(C3:E3)-MIN(C3:E3))/2/SQRT(12))</f>
        <v>0.00481125224325892</v>
      </c>
      <c r="I3" s="3" t="n">
        <f aca="false">ABS(G3-Par!$B$2)</f>
        <v>0.459894257900506</v>
      </c>
      <c r="J3" s="4" t="n">
        <f aca="false">SIN((I3+Par!$C$2)/2)/SIN(Par!$C$2/2)</f>
        <v>1.52394059478996</v>
      </c>
      <c r="K3" s="4" t="n">
        <f aca="false">SQRT(H3^2+Par!$A$5^2)*PI()/180</f>
        <v>0.000118754613904025</v>
      </c>
      <c r="L3" s="4" t="n">
        <f aca="false">ABS(COS((I3+Par!$C$2)/2))/(2*SIN(Par!$C$2/2))*K3</f>
        <v>0.000126042683589949</v>
      </c>
    </row>
    <row r="4" customFormat="false" ht="15" hidden="false" customHeight="false" outlineLevel="0" collapsed="false">
      <c r="A4" s="3" t="n">
        <v>490</v>
      </c>
      <c r="B4" s="3" t="n">
        <f aca="false">IF(A4=589, 1, Par!$A$7)</f>
        <v>10</v>
      </c>
      <c r="C4" s="3" t="n">
        <v>207.5</v>
      </c>
      <c r="D4" s="3" t="n">
        <v>207.516666666667</v>
      </c>
      <c r="E4" s="3" t="n">
        <v>207.516666666667</v>
      </c>
      <c r="F4" s="3" t="n">
        <f aca="false">AVERAGE(C4:E4)</f>
        <v>207.511111111111</v>
      </c>
      <c r="G4" s="3" t="n">
        <f aca="false">F4*PI()/180</f>
        <v>3.62175212336068</v>
      </c>
      <c r="H4" s="3" t="n">
        <f aca="false">MAX(Par!$A$5,(MAX(C4:E4)-MIN(C4:E4))/2/SQRT(12))</f>
        <v>0.00481125224324688</v>
      </c>
      <c r="I4" s="3" t="n">
        <f aca="false">ABS(G4-Par!$B$2)</f>
        <v>0.458342854120956</v>
      </c>
      <c r="J4" s="4" t="n">
        <f aca="false">SIN((I4+Par!$C$2)/2)/SIN(Par!$C$2/2)</f>
        <v>1.52229352174413</v>
      </c>
      <c r="K4" s="4" t="n">
        <f aca="false">SQRT(H4^2+Par!$A$5^2)*PI()/180</f>
        <v>0.000118754613903876</v>
      </c>
      <c r="L4" s="4" t="n">
        <f aca="false">ABS(COS((I4+Par!$C$2)/2))/(2*SIN(Par!$C$2/2))*K4</f>
        <v>0.000126112836977777</v>
      </c>
    </row>
    <row r="5" customFormat="false" ht="15" hidden="false" customHeight="false" outlineLevel="0" collapsed="false">
      <c r="A5" s="3" t="n">
        <v>510</v>
      </c>
      <c r="B5" s="3" t="n">
        <f aca="false">IF(A5=589, 1, Par!$A$7)</f>
        <v>10</v>
      </c>
      <c r="C5" s="3" t="n">
        <v>207.433333333333</v>
      </c>
      <c r="D5" s="3" t="n">
        <v>207.433333333333</v>
      </c>
      <c r="E5" s="3" t="n">
        <v>207.433333333333</v>
      </c>
      <c r="F5" s="3" t="n">
        <f aca="false">AVERAGE(C5:E5)</f>
        <v>207.433333333333</v>
      </c>
      <c r="G5" s="3" t="n">
        <f aca="false">F5*PI()/180</f>
        <v>3.62039464505357</v>
      </c>
      <c r="H5" s="3" t="n">
        <f aca="false">MAX(Par!$A$5,(MAX(C5:E5)-MIN(C5:E5))/2/SQRT(12))</f>
        <v>0.00481125224324688</v>
      </c>
      <c r="I5" s="3" t="n">
        <f aca="false">ABS(G5-Par!$B$2)</f>
        <v>0.456985375813848</v>
      </c>
      <c r="J5" s="4" t="n">
        <f aca="false">SIN((I5+Par!$C$2)/2)/SIN(Par!$C$2/2)</f>
        <v>1.52085158140169</v>
      </c>
      <c r="K5" s="4" t="n">
        <f aca="false">SQRT(H5^2+Par!$A$5^2)*PI()/180</f>
        <v>0.000118754613903876</v>
      </c>
      <c r="L5" s="4" t="n">
        <f aca="false">ABS(COS((I5+Par!$C$2)/2))/(2*SIN(Par!$C$2/2))*K5</f>
        <v>0.00012617415894529</v>
      </c>
    </row>
    <row r="6" customFormat="false" ht="15" hidden="false" customHeight="false" outlineLevel="0" collapsed="false">
      <c r="A6" s="3" t="n">
        <v>530</v>
      </c>
      <c r="B6" s="3" t="n">
        <f aca="false">IF(A6=589, 1, Par!$A$7)</f>
        <v>10</v>
      </c>
      <c r="C6" s="3" t="n">
        <v>207.35</v>
      </c>
      <c r="D6" s="3" t="n">
        <v>207.366666666667</v>
      </c>
      <c r="E6" s="3" t="n">
        <v>207.366666666667</v>
      </c>
      <c r="F6" s="3" t="n">
        <f aca="false">AVERAGE(C6:E6)</f>
        <v>207.361111111111</v>
      </c>
      <c r="G6" s="3" t="n">
        <f aca="false">F6*PI()/180</f>
        <v>3.61913412948269</v>
      </c>
      <c r="H6" s="3" t="n">
        <f aca="false">MAX(Par!$A$5,(MAX(C6:E6)-MIN(C6:E6))/2/SQRT(12))</f>
        <v>0.00481125224324688</v>
      </c>
      <c r="I6" s="3" t="n">
        <f aca="false">ABS(G6-Par!$B$2)</f>
        <v>0.455724860242964</v>
      </c>
      <c r="J6" s="4" t="n">
        <f aca="false">SIN((I6+Par!$C$2)/2)/SIN(Par!$C$2/2)</f>
        <v>1.51951200942838</v>
      </c>
      <c r="K6" s="4" t="n">
        <f aca="false">SQRT(H6^2+Par!$A$5^2)*PI()/180</f>
        <v>0.000118754613903876</v>
      </c>
      <c r="L6" s="4" t="n">
        <f aca="false">ABS(COS((I6+Par!$C$2)/2))/(2*SIN(Par!$C$2/2))*K6</f>
        <v>0.000126231048725682</v>
      </c>
    </row>
    <row r="7" customFormat="false" ht="15" hidden="false" customHeight="false" outlineLevel="0" collapsed="false">
      <c r="A7" s="3" t="n">
        <v>550</v>
      </c>
      <c r="B7" s="3" t="n">
        <f aca="false">IF(A7=589, 1, Par!$A$7)</f>
        <v>10</v>
      </c>
      <c r="C7" s="3" t="n">
        <v>207.316666666667</v>
      </c>
      <c r="D7" s="3" t="n">
        <v>207.3</v>
      </c>
      <c r="E7" s="3" t="n">
        <v>207.3</v>
      </c>
      <c r="F7" s="3" t="n">
        <f aca="false">AVERAGE(C7:E7)</f>
        <v>207.305555555556</v>
      </c>
      <c r="G7" s="3" t="n">
        <f aca="false">F7*PI()/180</f>
        <v>3.61816450212047</v>
      </c>
      <c r="H7" s="3" t="n">
        <f aca="false">MAX(Par!$A$5,(MAX(C7:E7)-MIN(C7:E7))/2/SQRT(12))</f>
        <v>0.00481125224324688</v>
      </c>
      <c r="I7" s="3" t="n">
        <f aca="false">ABS(G7-Par!$B$2)</f>
        <v>0.454755232880745</v>
      </c>
      <c r="J7" s="4" t="n">
        <f aca="false">SIN((I7+Par!$C$2)/2)/SIN(Par!$C$2/2)</f>
        <v>1.51848115869552</v>
      </c>
      <c r="K7" s="4" t="n">
        <f aca="false">SQRT(H7^2+Par!$A$5^2)*PI()/180</f>
        <v>0.000118754613903876</v>
      </c>
      <c r="L7" s="4" t="n">
        <f aca="false">ABS(COS((I7+Par!$C$2)/2))/(2*SIN(Par!$C$2/2))*K7</f>
        <v>0.000126274775976025</v>
      </c>
    </row>
    <row r="8" customFormat="false" ht="15" hidden="false" customHeight="false" outlineLevel="0" collapsed="false">
      <c r="A8" s="3" t="n">
        <v>570</v>
      </c>
      <c r="B8" s="3" t="n">
        <f aca="false">IF(A8=589, 1, Par!$A$7)</f>
        <v>10</v>
      </c>
      <c r="C8" s="3" t="n">
        <v>207.233333333333</v>
      </c>
      <c r="D8" s="3" t="n">
        <v>207.25</v>
      </c>
      <c r="E8" s="3" t="n">
        <v>207.25</v>
      </c>
      <c r="F8" s="3" t="n">
        <f aca="false">AVERAGE(C8:E8)</f>
        <v>207.244444444444</v>
      </c>
      <c r="G8" s="3" t="n">
        <f aca="false">F8*PI()/180</f>
        <v>3.61709791202203</v>
      </c>
      <c r="H8" s="3" t="n">
        <f aca="false">MAX(Par!$A$5,(MAX(C8:E8)-MIN(C8:E8))/2/SQRT(12))</f>
        <v>0.00481125224324688</v>
      </c>
      <c r="I8" s="3" t="n">
        <f aca="false">ABS(G8-Par!$B$2)</f>
        <v>0.453688642782304</v>
      </c>
      <c r="J8" s="4" t="n">
        <f aca="false">SIN((I8+Par!$C$2)/2)/SIN(Par!$C$2/2)</f>
        <v>1.51734681066726</v>
      </c>
      <c r="K8" s="4" t="n">
        <f aca="false">SQRT(H8^2+Par!$A$5^2)*PI()/180</f>
        <v>0.000118754613903876</v>
      </c>
      <c r="L8" s="4" t="n">
        <f aca="false">ABS(COS((I8+Par!$C$2)/2))/(2*SIN(Par!$C$2/2))*K8</f>
        <v>0.000126322841670415</v>
      </c>
    </row>
    <row r="9" customFormat="false" ht="15" hidden="false" customHeight="false" outlineLevel="0" collapsed="false">
      <c r="A9" s="3" t="n">
        <v>589</v>
      </c>
      <c r="B9" s="3" t="n">
        <f aca="false">IF(A9=589, 1, Par!$A$7)</f>
        <v>1</v>
      </c>
      <c r="C9" s="3" t="n">
        <v>207.2</v>
      </c>
      <c r="D9" s="3" t="n">
        <v>207.216666666667</v>
      </c>
      <c r="E9" s="3" t="n">
        <v>207.216666666667</v>
      </c>
      <c r="F9" s="3" t="n">
        <f aca="false">AVERAGE(C9:E9)</f>
        <v>207.211111111111</v>
      </c>
      <c r="G9" s="3" t="n">
        <f aca="false">F9*PI()/180</f>
        <v>3.6165161356047</v>
      </c>
      <c r="H9" s="3" t="n">
        <f aca="false">MAX(Par!$A$5,(MAX(C9:E9)-MIN(C9:E9))/2/SQRT(12))</f>
        <v>0.00481125224324688</v>
      </c>
      <c r="I9" s="3" t="n">
        <f aca="false">ABS(G9-Par!$B$2)</f>
        <v>0.453106866364973</v>
      </c>
      <c r="J9" s="4" t="n">
        <f aca="false">SIN((I9+Par!$C$2)/2)/SIN(Par!$C$2/2)</f>
        <v>1.51672789347022</v>
      </c>
      <c r="K9" s="4" t="n">
        <f aca="false">SQRT(H9^2+Par!$A$5^2)*PI()/180</f>
        <v>0.000118754613903876</v>
      </c>
      <c r="L9" s="4" t="n">
        <f aca="false">ABS(COS((I9+Par!$C$2)/2))/(2*SIN(Par!$C$2/2))*K9</f>
        <v>0.000126349044180126</v>
      </c>
    </row>
    <row r="10" customFormat="false" ht="15" hidden="false" customHeight="false" outlineLevel="0" collapsed="false">
      <c r="A10" s="3" t="n">
        <v>600</v>
      </c>
      <c r="B10" s="3" t="n">
        <f aca="false">IF(A10=589, 1, Par!$A$7)</f>
        <v>10</v>
      </c>
      <c r="C10" s="3" t="n">
        <v>207.15</v>
      </c>
      <c r="D10" s="3" t="n">
        <v>207.15</v>
      </c>
      <c r="E10" s="3" t="n">
        <v>207.183333333333</v>
      </c>
      <c r="F10" s="3" t="n">
        <f aca="false">AVERAGE(C10:E10)</f>
        <v>207.161111111111</v>
      </c>
      <c r="G10" s="3" t="n">
        <f aca="false">F10*PI()/180</f>
        <v>3.6156434709787</v>
      </c>
      <c r="H10" s="3" t="n">
        <f aca="false">MAX(Par!$A$5,(MAX(C10:E10)-MIN(C10:E10))/2/SQRT(12))</f>
        <v>0.00481125224324688</v>
      </c>
      <c r="I10" s="3" t="n">
        <f aca="false">ABS(G10-Par!$B$2)</f>
        <v>0.452234201738975</v>
      </c>
      <c r="J10" s="4" t="n">
        <f aca="false">SIN((I10+Par!$C$2)/2)/SIN(Par!$C$2/2)</f>
        <v>1.5157992770547</v>
      </c>
      <c r="K10" s="4" t="n">
        <f aca="false">SQRT(H10^2+Par!$A$5^2)*PI()/180</f>
        <v>0.000118754613903876</v>
      </c>
      <c r="L10" s="4" t="n">
        <f aca="false">ABS(COS((I10+Par!$C$2)/2))/(2*SIN(Par!$C$2/2))*K10</f>
        <v>0.000126388327898105</v>
      </c>
    </row>
    <row r="11" customFormat="false" ht="15" hidden="false" customHeight="false" outlineLevel="0" collapsed="false">
      <c r="A11" s="3" t="n">
        <v>620</v>
      </c>
      <c r="B11" s="3" t="n">
        <f aca="false">IF(A11=589, 1, Par!$A$7)</f>
        <v>10</v>
      </c>
      <c r="C11" s="3" t="n">
        <v>207.133333333333</v>
      </c>
      <c r="D11" s="3" t="n">
        <v>207.133333333333</v>
      </c>
      <c r="E11" s="3" t="n">
        <v>207.133333333333</v>
      </c>
      <c r="F11" s="3" t="n">
        <f aca="false">AVERAGE(C11:E11)</f>
        <v>207.133333333333</v>
      </c>
      <c r="G11" s="3" t="n">
        <f aca="false">F11*PI()/180</f>
        <v>3.61515865729759</v>
      </c>
      <c r="H11" s="3" t="n">
        <f aca="false">MAX(Par!$A$5,(MAX(C11:E11)-MIN(C11:E11))/2/SQRT(12))</f>
        <v>0.00481125224324688</v>
      </c>
      <c r="I11" s="3" t="n">
        <f aca="false">ABS(G11-Par!$B$2)</f>
        <v>0.451749388057865</v>
      </c>
      <c r="J11" s="4" t="n">
        <f aca="false">SIN((I11+Par!$C$2)/2)/SIN(Par!$C$2/2)</f>
        <v>1.51528325433676</v>
      </c>
      <c r="K11" s="4" t="n">
        <f aca="false">SQRT(H11^2+Par!$A$5^2)*PI()/180</f>
        <v>0.000118754613903876</v>
      </c>
      <c r="L11" s="4" t="n">
        <f aca="false">ABS(COS((I11+Par!$C$2)/2))/(2*SIN(Par!$C$2/2))*K11</f>
        <v>0.00012641014178895</v>
      </c>
    </row>
    <row r="12" customFormat="false" ht="15" hidden="false" customHeight="false" outlineLevel="0" collapsed="false">
      <c r="A12" s="3" t="n">
        <v>640</v>
      </c>
      <c r="B12" s="3" t="n">
        <f aca="false">IF(A12=589, 1, Par!$A$7)</f>
        <v>10</v>
      </c>
      <c r="C12" s="3" t="n">
        <v>207.116666666667</v>
      </c>
      <c r="D12" s="3" t="n">
        <v>207.083333333333</v>
      </c>
      <c r="E12" s="3" t="n">
        <v>207.1</v>
      </c>
      <c r="F12" s="3" t="n">
        <f aca="false">AVERAGE(C12:E12)</f>
        <v>207.1</v>
      </c>
      <c r="G12" s="3" t="n">
        <f aca="false">F12*PI()/180</f>
        <v>3.61457688088026</v>
      </c>
      <c r="H12" s="3" t="n">
        <f aca="false">MAX(Par!$A$5,(MAX(C12:E12)-MIN(C12:E12))/2/SQRT(12))</f>
        <v>0.00481125224325892</v>
      </c>
      <c r="I12" s="3" t="n">
        <f aca="false">ABS(G12-Par!$B$2)</f>
        <v>0.451167611640534</v>
      </c>
      <c r="J12" s="4" t="n">
        <f aca="false">SIN((I12+Par!$C$2)/2)/SIN(Par!$C$2/2)</f>
        <v>1.51466390954554</v>
      </c>
      <c r="K12" s="4" t="n">
        <f aca="false">SQRT(H12^2+Par!$A$5^2)*PI()/180</f>
        <v>0.000118754613904025</v>
      </c>
      <c r="L12" s="4" t="n">
        <f aca="false">ABS(COS((I12+Par!$C$2)/2))/(2*SIN(Par!$C$2/2))*K12</f>
        <v>0.000126436308653055</v>
      </c>
    </row>
    <row r="13" customFormat="false" ht="15" hidden="false" customHeight="false" outlineLevel="0" collapsed="false">
      <c r="A13" s="3" t="n">
        <v>660</v>
      </c>
      <c r="B13" s="3" t="n">
        <f aca="false">IF(A13=589, 1, Par!$A$7)</f>
        <v>10</v>
      </c>
      <c r="C13" s="3" t="n">
        <v>207.083333333333</v>
      </c>
      <c r="D13" s="3" t="n">
        <v>207.066666666667</v>
      </c>
      <c r="E13" s="3" t="n">
        <v>207.066666666667</v>
      </c>
      <c r="F13" s="3" t="n">
        <f aca="false">AVERAGE(C13:E13)</f>
        <v>207.072222222222</v>
      </c>
      <c r="G13" s="3" t="n">
        <f aca="false">F13*PI()/180</f>
        <v>3.61409206719915</v>
      </c>
      <c r="H13" s="3" t="n">
        <f aca="false">MAX(Par!$A$5,(MAX(C13:E13)-MIN(C13:E13))/2/SQRT(12))</f>
        <v>0.00481125224324688</v>
      </c>
      <c r="I13" s="3" t="n">
        <f aca="false">ABS(G13-Par!$B$2)</f>
        <v>0.450682797959424</v>
      </c>
      <c r="J13" s="4" t="n">
        <f aca="false">SIN((I13+Par!$C$2)/2)/SIN(Par!$C$2/2)</f>
        <v>1.51414769098035</v>
      </c>
      <c r="K13" s="4" t="n">
        <f aca="false">SQRT(H13^2+Par!$A$5^2)*PI()/180</f>
        <v>0.000118754613903876</v>
      </c>
      <c r="L13" s="4" t="n">
        <f aca="false">ABS(COS((I13+Par!$C$2)/2))/(2*SIN(Par!$C$2/2))*K13</f>
        <v>0.000126458106200459</v>
      </c>
    </row>
    <row r="14" customFormat="false" ht="15" hidden="false" customHeight="false" outlineLevel="0" collapsed="false">
      <c r="A14" s="3" t="n">
        <v>680</v>
      </c>
      <c r="B14" s="3" t="n">
        <f aca="false">IF(A14=589, 1, Par!$A$7)</f>
        <v>10</v>
      </c>
      <c r="C14" s="3" t="n">
        <v>207.033333333333</v>
      </c>
      <c r="D14" s="3" t="n">
        <v>207.016666666667</v>
      </c>
      <c r="E14" s="3" t="n">
        <v>207.033333333333</v>
      </c>
      <c r="F14" s="3" t="n">
        <f aca="false">AVERAGE(C14:E14)</f>
        <v>207.027777777778</v>
      </c>
      <c r="G14" s="3" t="n">
        <f aca="false">F14*PI()/180</f>
        <v>3.61331636530937</v>
      </c>
      <c r="H14" s="3" t="n">
        <f aca="false">MAX(Par!$A$5,(MAX(C14:E14)-MIN(C14:E14))/2/SQRT(12))</f>
        <v>0.00481125224324688</v>
      </c>
      <c r="I14" s="3" t="n">
        <f aca="false">ABS(G14-Par!$B$2)</f>
        <v>0.449907096069649</v>
      </c>
      <c r="J14" s="4" t="n">
        <f aca="false">SIN((I14+Par!$C$2)/2)/SIN(Par!$C$2/2)</f>
        <v>1.51332155622495</v>
      </c>
      <c r="K14" s="4" t="n">
        <f aca="false">SQRT(H14^2+Par!$A$5^2)*PI()/180</f>
        <v>0.000118754613903876</v>
      </c>
      <c r="L14" s="4" t="n">
        <f aca="false">ABS(COS((I14+Par!$C$2)/2))/(2*SIN(Par!$C$2/2))*K14</f>
        <v>0.000126492966819932</v>
      </c>
    </row>
    <row r="15" customFormat="false" ht="15" hidden="false" customHeight="false" outlineLevel="0" collapsed="false">
      <c r="A15" s="3" t="n">
        <v>700</v>
      </c>
      <c r="B15" s="3" t="n">
        <f aca="false">IF(A15=589, 1, Par!$A$7)</f>
        <v>10</v>
      </c>
      <c r="C15" s="3" t="n">
        <v>207</v>
      </c>
      <c r="D15" s="3" t="n">
        <v>206.983333333333</v>
      </c>
      <c r="E15" s="3" t="n">
        <v>207</v>
      </c>
      <c r="F15" s="3" t="n">
        <f aca="false">AVERAGE(C15:E15)</f>
        <v>206.994444444444</v>
      </c>
      <c r="G15" s="3" t="n">
        <f aca="false">F15*PI()/180</f>
        <v>3.61273458889204</v>
      </c>
      <c r="H15" s="3" t="n">
        <f aca="false">MAX(Par!$A$5,(MAX(C15:E15)-MIN(C15:E15))/2/SQRT(12))</f>
        <v>0.00481125224324688</v>
      </c>
      <c r="I15" s="3" t="n">
        <f aca="false">ABS(G15-Par!$B$2)</f>
        <v>0.449325319652318</v>
      </c>
      <c r="J15" s="4" t="n">
        <f aca="false">SIN((I15+Par!$C$2)/2)/SIN(Par!$C$2/2)</f>
        <v>1.5127018057586</v>
      </c>
      <c r="K15" s="4" t="n">
        <f aca="false">SQRT(H15^2+Par!$A$5^2)*PI()/180</f>
        <v>0.000118754613903876</v>
      </c>
      <c r="L15" s="4" t="n">
        <f aca="false">ABS(COS((I15+Par!$C$2)/2))/(2*SIN(Par!$C$2/2))*K15</f>
        <v>0.000126519099797614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2026-10-20T13:43:00Z</dcterms:created>
  <dc:creator>MIROLO MANUELE [SM2001968]</dc:creator>
  <dc:description/>
  <dc:language>en-US</dc:language>
  <cp:lastModifiedBy>TEDESCHINI MICHELE [SM2001925]</cp:lastModifiedBy>
  <dcterms:modified xsi:type="dcterms:W3CDTF">2026-10-21T09:46:55Z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