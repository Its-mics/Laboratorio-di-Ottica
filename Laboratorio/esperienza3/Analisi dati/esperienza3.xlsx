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/Downloads/"/>
    </mc:Choice>
  </mc:AlternateContent>
  <xr:revisionPtr revIDLastSave="0" documentId="8_{7D65F87D-2401-3441-A03F-63EB2FB9A3C4}" xr6:coauthVersionLast="47" xr6:coauthVersionMax="47" xr10:uidLastSave="{00000000-0000-0000-0000-000000000000}"/>
  <bookViews>
    <workbookView xWindow="0" yWindow="780" windowWidth="34200" windowHeight="19820" activeTab="1" xr2:uid="{C38E15C1-9D3F-4ED3-A0E7-22A77DDF3DE1}"/>
  </bookViews>
  <sheets>
    <sheet name="Par" sheetId="1" r:id="rId1"/>
    <sheet name="Dati" sheetId="2" r:id="rId2"/>
  </sheets>
  <definedNames>
    <definedName name="_xlchart.v1.0" hidden="1">Dati!$C$2:$C$16</definedName>
    <definedName name="_xlchart.v1.1" hidden="1">Dati!$L$1</definedName>
    <definedName name="_xlchart.v1.10" hidden="1">Dati!$L$1</definedName>
    <definedName name="_xlchart.v1.11" hidden="1">Dati!$L$2:$L$16</definedName>
    <definedName name="_xlchart.v1.12" hidden="1">Dati!$C$2:$C$16</definedName>
    <definedName name="_xlchart.v1.13" hidden="1">Dati!$L$1</definedName>
    <definedName name="_xlchart.v1.14" hidden="1">Dati!$L$2:$L$16</definedName>
    <definedName name="_xlchart.v1.15" hidden="1">Dati!$C$2:$C$16</definedName>
    <definedName name="_xlchart.v1.16" hidden="1">Dati!$L$1</definedName>
    <definedName name="_xlchart.v1.17" hidden="1">Dati!$L$2:$L$16</definedName>
    <definedName name="_xlchart.v1.2" hidden="1">Dati!$L$2:$L$16</definedName>
    <definedName name="_xlchart.v1.3" hidden="1">Dati!$C$2:$C$16</definedName>
    <definedName name="_xlchart.v1.4" hidden="1">Dati!$L$1</definedName>
    <definedName name="_xlchart.v1.5" hidden="1">Dati!$L$2:$L$16</definedName>
    <definedName name="_xlchart.v1.6" hidden="1">Dati!$C$2:$C$16</definedName>
    <definedName name="_xlchart.v1.7" hidden="1">Dati!$L$1</definedName>
    <definedName name="_xlchart.v1.8" hidden="1">Dati!$L$2:$L$16</definedName>
    <definedName name="_xlchart.v1.9" hidden="1">Dati!$C$2:$C$16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R2" i="2"/>
  <c r="E6" i="2"/>
  <c r="A6" i="2"/>
  <c r="B6" i="2" s="1"/>
  <c r="G5" i="2"/>
  <c r="E5" i="2"/>
  <c r="F5" i="2"/>
  <c r="S2" i="2"/>
  <c r="A5" i="2"/>
  <c r="B5" i="2" s="1"/>
  <c r="G4" i="2"/>
  <c r="T2" i="2"/>
  <c r="J4" i="2"/>
  <c r="F4" i="2"/>
  <c r="T16" i="2"/>
  <c r="T10" i="2"/>
  <c r="T11" i="2"/>
  <c r="T12" i="2"/>
  <c r="T13" i="2"/>
  <c r="T14" i="2"/>
  <c r="T15" i="2"/>
  <c r="T9" i="2"/>
  <c r="E4" i="2"/>
  <c r="T3" i="2"/>
  <c r="T7" i="2"/>
  <c r="T8" i="2"/>
  <c r="A4" i="2"/>
  <c r="F3" i="2"/>
  <c r="J2" i="2"/>
  <c r="M2" i="2" s="1"/>
  <c r="N2" i="2" s="1"/>
  <c r="G3" i="2"/>
  <c r="Q2" i="2"/>
  <c r="J3" i="2"/>
  <c r="E3" i="2"/>
  <c r="O2" i="2"/>
  <c r="L2" i="2"/>
  <c r="K2" i="2"/>
  <c r="I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2" i="2"/>
  <c r="A3" i="2"/>
  <c r="B3" i="2" s="1"/>
  <c r="G2" i="2"/>
  <c r="A2" i="2"/>
  <c r="F2" i="2"/>
  <c r="E2" i="2"/>
  <c r="B4" i="2"/>
  <c r="B7" i="2"/>
  <c r="B8" i="2"/>
  <c r="B9" i="2"/>
  <c r="B10" i="2"/>
  <c r="B11" i="2"/>
  <c r="B12" i="2"/>
  <c r="B13" i="2"/>
  <c r="B14" i="2"/>
  <c r="B15" i="2"/>
  <c r="B16" i="2"/>
  <c r="B2" i="1"/>
  <c r="J16" i="2"/>
  <c r="M16" i="2" s="1"/>
  <c r="D16" i="2"/>
  <c r="J15" i="2"/>
  <c r="M15" i="2" s="1"/>
  <c r="D15" i="2"/>
  <c r="D2" i="2"/>
  <c r="J5" i="2"/>
  <c r="J6" i="2"/>
  <c r="J7" i="2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A5" i="1"/>
  <c r="C2" i="1"/>
  <c r="B5" i="1"/>
  <c r="D2" i="1"/>
  <c r="D3" i="2"/>
  <c r="D4" i="2"/>
  <c r="D5" i="2"/>
  <c r="D6" i="2"/>
  <c r="D7" i="2"/>
  <c r="D8" i="2"/>
  <c r="D9" i="2"/>
  <c r="D10" i="2"/>
  <c r="D11" i="2"/>
  <c r="D12" i="2"/>
  <c r="D13" i="2"/>
  <c r="D14" i="2"/>
  <c r="M6" i="2" l="1"/>
  <c r="T6" i="2"/>
  <c r="M5" i="2"/>
  <c r="T5" i="2"/>
  <c r="M4" i="2"/>
  <c r="T4" i="2"/>
  <c r="M3" i="2"/>
  <c r="K9" i="2"/>
  <c r="O9" i="2" s="1"/>
  <c r="B2" i="2"/>
  <c r="K3" i="2"/>
  <c r="K4" i="2"/>
  <c r="L4" i="2" s="1"/>
  <c r="K10" i="2"/>
  <c r="O10" i="2" s="1"/>
  <c r="K13" i="2"/>
  <c r="O13" i="2" s="1"/>
  <c r="K15" i="2"/>
  <c r="O15" i="2" s="1"/>
  <c r="K5" i="2"/>
  <c r="O5" i="2" s="1"/>
  <c r="K6" i="2"/>
  <c r="O6" i="2" s="1"/>
  <c r="K7" i="2"/>
  <c r="O7" i="2" s="1"/>
  <c r="K11" i="2"/>
  <c r="O11" i="2" s="1"/>
  <c r="K14" i="2"/>
  <c r="O14" i="2" s="1"/>
  <c r="K16" i="2"/>
  <c r="O16" i="2" s="1"/>
  <c r="K8" i="2"/>
  <c r="O8" i="2" s="1"/>
  <c r="K12" i="2"/>
  <c r="O12" i="2" s="1"/>
  <c r="L16" i="2"/>
  <c r="N16" i="2"/>
  <c r="L15" i="2"/>
  <c r="N15" i="2"/>
  <c r="O4" i="2" l="1"/>
  <c r="N4" i="2"/>
  <c r="O3" i="2"/>
  <c r="L3" i="2"/>
  <c r="N3" i="2"/>
  <c r="L6" i="2"/>
  <c r="N6" i="2"/>
  <c r="L7" i="2"/>
  <c r="N7" i="2"/>
  <c r="L9" i="2"/>
  <c r="N9" i="2"/>
  <c r="N10" i="2"/>
  <c r="L10" i="2"/>
  <c r="L11" i="2"/>
  <c r="N11" i="2"/>
  <c r="N12" i="2"/>
  <c r="L12" i="2"/>
  <c r="L14" i="2"/>
  <c r="N14" i="2"/>
  <c r="L5" i="2"/>
  <c r="N5" i="2"/>
  <c r="N8" i="2"/>
  <c r="L8" i="2"/>
  <c r="L13" i="2"/>
  <c r="N13" i="2"/>
</calcChain>
</file>

<file path=xl/sharedStrings.xml><?xml version="1.0" encoding="utf-8"?>
<sst xmlns="http://schemas.openxmlformats.org/spreadsheetml/2006/main" count="26" uniqueCount="23">
  <si>
    <t>θ_0</t>
  </si>
  <si>
    <t>θ_0 rad</t>
  </si>
  <si>
    <t>α</t>
  </si>
  <si>
    <t>n</t>
  </si>
  <si>
    <t>err_θ</t>
  </si>
  <si>
    <t>err_δ</t>
  </si>
  <si>
    <t>err_λ</t>
  </si>
  <si>
    <t>lambda</t>
  </si>
  <si>
    <t>err_lambda</t>
  </si>
  <si>
    <t>θ_1</t>
  </si>
  <si>
    <t>θ_2</t>
  </si>
  <si>
    <t>θ_3</t>
  </si>
  <si>
    <t>theta_medio</t>
  </si>
  <si>
    <t>theta_med_rad</t>
  </si>
  <si>
    <t>err_theta</t>
  </si>
  <si>
    <t>δ</t>
  </si>
  <si>
    <t>n'</t>
  </si>
  <si>
    <t>err_n</t>
  </si>
  <si>
    <t>δ gradi</t>
  </si>
  <si>
    <t>3 sigma</t>
  </si>
  <si>
    <t>diff(12)</t>
  </si>
  <si>
    <t>diff(23)</t>
  </si>
  <si>
    <t>diff(13)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</si>
</sst>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Dati!$L$1</c:f>
              <c:strCache>
                <c:ptCount val="1"/>
                <c:pt idx="0">
                  <c:v>n'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Dati!$C$2:$C$16</c:f>
              <c:numCache>
                <c:formatCode>General</c:formatCode>
                <c:ptCount val="15"/>
                <c:pt idx="0">
                  <c:v>589</c:v>
                </c:pt>
                <c:pt idx="1">
                  <c:v>520</c:v>
                </c:pt>
                <c:pt idx="2">
                  <c:v>508</c:v>
                </c:pt>
                <c:pt idx="3">
                  <c:v>535</c:v>
                </c:pt>
                <c:pt idx="4">
                  <c:v>470</c:v>
                </c:pt>
              </c:numCache>
            </c:numRef>
          </c:xVal>
          <c:yVal>
            <c:numRef>
              <c:f>Dati!$L$2:$L$16</c:f>
              <c:numCache>
                <c:formatCode>General</c:formatCode>
                <c:ptCount val="15"/>
                <c:pt idx="0">
                  <c:v>1.5171405191980769</c:v>
                </c:pt>
                <c:pt idx="1">
                  <c:v>1.5204394697293473</c:v>
                </c:pt>
                <c:pt idx="2">
                  <c:v>1.521160627622701</c:v>
                </c:pt>
                <c:pt idx="3">
                  <c:v>1.519718136724385</c:v>
                </c:pt>
                <c:pt idx="4">
                  <c:v>1.5233230498026191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85-4023-8A7F-3590A9C7F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879"/>
        <c:axId val="156793839"/>
      </c:scatterChart>
      <c:valAx>
        <c:axId val="156792879"/>
        <c:scaling>
          <c:orientation val="minMax"/>
          <c:min val="4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3839"/>
        <c:crosses val="autoZero"/>
        <c:crossBetween val="midCat"/>
      </c:valAx>
      <c:valAx>
        <c:axId val="156793839"/>
        <c:scaling>
          <c:orientation val="minMax"/>
          <c:max val="1.53"/>
          <c:min val="1.514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Dati!$O$1</c:f>
              <c:strCache>
                <c:ptCount val="1"/>
                <c:pt idx="0">
                  <c:v>δ gradi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Dati!$C$2:$C$16</c:f>
              <c:numCache>
                <c:formatCode>General</c:formatCode>
                <c:ptCount val="15"/>
                <c:pt idx="0">
                  <c:v>589</c:v>
                </c:pt>
                <c:pt idx="1">
                  <c:v>520</c:v>
                </c:pt>
                <c:pt idx="2">
                  <c:v>508</c:v>
                </c:pt>
                <c:pt idx="3">
                  <c:v>535</c:v>
                </c:pt>
                <c:pt idx="4">
                  <c:v>470</c:v>
                </c:pt>
              </c:numCache>
            </c:numRef>
          </c:xVal>
          <c:yVal>
            <c:numRef>
              <c:f>Dati!$O$2:$O$16</c:f>
              <c:numCache>
                <c:formatCode>General</c:formatCode>
                <c:ptCount val="15"/>
                <c:pt idx="0">
                  <c:v>25.983333333333263</c:v>
                </c:pt>
                <c:pt idx="1">
                  <c:v>26.161111111111016</c:v>
                </c:pt>
                <c:pt idx="2">
                  <c:v>26.2</c:v>
                </c:pt>
                <c:pt idx="3">
                  <c:v>26.122222222222184</c:v>
                </c:pt>
                <c:pt idx="4">
                  <c:v>26.316666666666691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F-F843-9723-3C988091E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92879"/>
        <c:axId val="156793839"/>
      </c:scatterChart>
      <c:valAx>
        <c:axId val="156792879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3839"/>
        <c:crosses val="autoZero"/>
        <c:crossBetween val="midCat"/>
      </c:valAx>
      <c:valAx>
        <c:axId val="156793839"/>
        <c:scaling>
          <c:orientation val="minMax"/>
          <c:max val="26.5"/>
          <c:min val="25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55070</xdr:colOff>
      <xdr:row>0</xdr:row>
      <xdr:rowOff>0</xdr:rowOff>
    </xdr:from>
    <xdr:to>
      <xdr:col>31</xdr:col>
      <xdr:colOff>16970</xdr:colOff>
      <xdr:row>21</xdr:row>
      <xdr:rowOff>95250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7E2AE20-6D58-B1AA-459C-25CFB6753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27609</xdr:colOff>
      <xdr:row>21</xdr:row>
      <xdr:rowOff>119638</xdr:rowOff>
    </xdr:from>
    <xdr:to>
      <xdr:col>30</xdr:col>
      <xdr:colOff>661321</xdr:colOff>
      <xdr:row>43</xdr:row>
      <xdr:rowOff>21627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E4FF1-FBB6-024D-9E47-197473DA4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AAE8-4376-42DD-913B-694A004AF7EF}">
  <dimension ref="A1:H7"/>
  <sheetViews>
    <sheetView zoomScale="136" workbookViewId="0">
      <selection activeCell="B3" sqref="B3"/>
    </sheetView>
  </sheetViews>
  <sheetFormatPr baseColWidth="10" defaultColWidth="8.83203125" defaultRowHeight="15" x14ac:dyDescent="0.2"/>
  <cols>
    <col min="1" max="5" width="8.83203125" style="4"/>
  </cols>
  <sheetData>
    <row r="1" spans="1:8" x14ac:dyDescent="0.2">
      <c r="A1" s="2" t="s">
        <v>0</v>
      </c>
      <c r="B1" s="2" t="s">
        <v>1</v>
      </c>
      <c r="C1" s="3" t="s">
        <v>2</v>
      </c>
      <c r="D1" s="3" t="s">
        <v>3</v>
      </c>
    </row>
    <row r="2" spans="1:8" x14ac:dyDescent="0.2">
      <c r="A2" s="3"/>
      <c r="B2" s="3">
        <f>A2*PI()/180</f>
        <v>0</v>
      </c>
      <c r="C2" s="3">
        <f>PI()/4</f>
        <v>0.78539816339744828</v>
      </c>
      <c r="D2" s="3">
        <f>1.5</f>
        <v>1.5</v>
      </c>
    </row>
    <row r="4" spans="1:8" x14ac:dyDescent="0.2">
      <c r="A4" s="3" t="s">
        <v>4</v>
      </c>
      <c r="B4" s="3" t="s">
        <v>5</v>
      </c>
    </row>
    <row r="5" spans="1:8" x14ac:dyDescent="0.2">
      <c r="A5" s="3">
        <f>1/(60*SQRT(12))</f>
        <v>4.8112522432468821E-3</v>
      </c>
      <c r="B5" s="3">
        <f>SQRT(2)*A5</f>
        <v>6.804138174397718E-3</v>
      </c>
      <c r="H5" s="4"/>
    </row>
    <row r="6" spans="1:8" x14ac:dyDescent="0.2">
      <c r="A6" s="3" t="s">
        <v>6</v>
      </c>
    </row>
    <row r="7" spans="1:8" x14ac:dyDescent="0.2">
      <c r="A7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BE49-E138-43E9-9564-6F0215F6386D}">
  <dimension ref="A1:T66"/>
  <sheetViews>
    <sheetView tabSelected="1" zoomScale="135" workbookViewId="0">
      <selection activeCell="G2" sqref="G2"/>
    </sheetView>
  </sheetViews>
  <sheetFormatPr baseColWidth="10" defaultColWidth="8.83203125" defaultRowHeight="15" x14ac:dyDescent="0.2"/>
  <cols>
    <col min="1" max="1" width="8.83203125" style="4"/>
    <col min="2" max="3" width="10.1640625" style="4" bestFit="1" customWidth="1"/>
    <col min="4" max="5" width="8.83203125" style="4"/>
    <col min="6" max="6" width="10.83203125" style="4" bestFit="1" customWidth="1"/>
    <col min="7" max="7" width="12.83203125" style="4" bestFit="1" customWidth="1"/>
    <col min="8" max="8" width="13.1640625" style="4" bestFit="1" customWidth="1"/>
    <col min="9" max="9" width="11.83203125" style="4" bestFit="1" customWidth="1"/>
    <col min="10" max="10" width="11.33203125" customWidth="1"/>
    <col min="11" max="15" width="12.1640625" bestFit="1" customWidth="1"/>
  </cols>
  <sheetData>
    <row r="1" spans="1:20" x14ac:dyDescent="0.2">
      <c r="A1" s="3" t="s">
        <v>0</v>
      </c>
      <c r="B1" s="3" t="s">
        <v>1</v>
      </c>
      <c r="C1" s="7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5" t="s">
        <v>5</v>
      </c>
      <c r="N1" s="5" t="s">
        <v>17</v>
      </c>
      <c r="O1" s="3" t="s">
        <v>18</v>
      </c>
      <c r="Q1" s="4" t="s">
        <v>20</v>
      </c>
      <c r="R1" s="4" t="s">
        <v>21</v>
      </c>
      <c r="S1" s="4" t="s">
        <v>22</v>
      </c>
      <c r="T1" s="4" t="s">
        <v>19</v>
      </c>
    </row>
    <row r="2" spans="1:20" x14ac:dyDescent="0.2">
      <c r="A2" s="3">
        <f>289.5 + 16/60</f>
        <v>289.76666666666665</v>
      </c>
      <c r="B2" s="3">
        <f>A2*PI()/180</f>
        <v>5.057382395862235</v>
      </c>
      <c r="C2" s="7">
        <v>589</v>
      </c>
      <c r="D2" s="3">
        <f>IF(C2=589, 1, Par!$A$7)</f>
        <v>1</v>
      </c>
      <c r="E2" s="4">
        <f>263.5 + 18/60</f>
        <v>263.8</v>
      </c>
      <c r="F2" s="3">
        <f>263.5 +17/60</f>
        <v>263.78333333333336</v>
      </c>
      <c r="G2" s="3">
        <f>263.5+16/60</f>
        <v>263.76666666666665</v>
      </c>
      <c r="H2" s="3">
        <f xml:space="preserve"> AVERAGE(E2:G2)</f>
        <v>263.78333333333336</v>
      </c>
      <c r="I2" s="3">
        <f>H2*PI()/180</f>
        <v>4.6038876785523764</v>
      </c>
      <c r="J2" s="3">
        <f>MAX(Par!$A$5,(MAX(E2:G2)-MIN(E2:G2))/2/SQRT(12))</f>
        <v>4.8112522432507106E-3</v>
      </c>
      <c r="K2" s="3">
        <f>ABS(I2-B2)</f>
        <v>0.45349471730985869</v>
      </c>
      <c r="L2" s="1">
        <f>SIN((K2+Par!$C$2)/2)/SIN(Par!$C$2/2)</f>
        <v>1.5171405191980769</v>
      </c>
      <c r="M2" s="6">
        <f>SQRT(J2^2+Par!$A$5^2)*PI()/180</f>
        <v>1.1875461390392357E-4</v>
      </c>
      <c r="N2" s="6">
        <f>ABS(COS((K2+Par!$C$2)/2))/(2*SIN(Par!$C$2/2))*M2</f>
        <v>1.263315770281373E-4</v>
      </c>
      <c r="O2" s="1">
        <f>K2/PI() *180</f>
        <v>25.983333333333263</v>
      </c>
      <c r="Q2" s="8">
        <f xml:space="preserve"> ABS(E3-F3)</f>
        <v>1.6666666666651508E-2</v>
      </c>
      <c r="R2" s="8">
        <f xml:space="preserve"> ABS(F3-G3)</f>
        <v>1.6666666666651508E-2</v>
      </c>
      <c r="S2" s="9">
        <f xml:space="preserve"> ABS(E3-G3)</f>
        <v>0</v>
      </c>
      <c r="T2" s="4">
        <f>J2*3</f>
        <v>1.4433756729752133E-2</v>
      </c>
    </row>
    <row r="3" spans="1:20" x14ac:dyDescent="0.2">
      <c r="A3" s="3">
        <f xml:space="preserve"> 289.5 + 13/60</f>
        <v>289.71666666666664</v>
      </c>
      <c r="B3" s="3">
        <f>A3*PI()/180</f>
        <v>5.0565097312362379</v>
      </c>
      <c r="C3" s="7">
        <v>520</v>
      </c>
      <c r="D3" s="3">
        <f>IF(C3=589, 1, Par!$A$7)</f>
        <v>10</v>
      </c>
      <c r="E3" s="3">
        <f xml:space="preserve"> 263.5 + 3/60</f>
        <v>263.55</v>
      </c>
      <c r="F3" s="3">
        <f>263.5 + 4/60</f>
        <v>263.56666666666666</v>
      </c>
      <c r="G3" s="3">
        <f xml:space="preserve"> 263.5 + 3/60</f>
        <v>263.55</v>
      </c>
      <c r="H3" s="3">
        <f t="shared" ref="H3:H16" si="0" xml:space="preserve"> AVERAGE(E3:G3)</f>
        <v>263.5555555555556</v>
      </c>
      <c r="I3" s="3">
        <f t="shared" ref="I3:I16" si="1">H3*PI()/180</f>
        <v>4.5999122063672786</v>
      </c>
      <c r="J3" s="3">
        <f>MAX(Par!$A$5,(MAX(E3:G3)-MIN(E3:G3))/2/SQRT(12))</f>
        <v>4.8112522432468821E-3</v>
      </c>
      <c r="K3" s="3">
        <f>ABS(I3-B3)</f>
        <v>0.45659752486895933</v>
      </c>
      <c r="L3" s="1">
        <f>SIN((K3+Par!$C$2)/2)/SIN(Par!$C$2/2)</f>
        <v>1.5204394697293473</v>
      </c>
      <c r="M3" s="6">
        <f>SQRT(J3^2+Par!$A$5^2)*PI()/180</f>
        <v>1.1875461390387631E-4</v>
      </c>
      <c r="N3" s="6">
        <f>ABS(COS((K3+Par!$C$2)/2))/(2*SIN(Par!$C$2/2))*M3</f>
        <v>1.2619166883232573E-4</v>
      </c>
      <c r="O3" s="1">
        <f>K3/PI() *180</f>
        <v>26.161111111111016</v>
      </c>
      <c r="Q3" s="8">
        <f t="shared" ref="Q3:Q16" si="2" xml:space="preserve"> ABS(E4-F4)</f>
        <v>3.333333333335986E-2</v>
      </c>
      <c r="R3" s="8">
        <f t="shared" ref="R3:R16" si="3" xml:space="preserve"> ABS(F4-G4)</f>
        <v>1.6666666666708352E-2</v>
      </c>
      <c r="S3" s="9">
        <f t="shared" ref="S3:S16" si="4" xml:space="preserve"> ABS(E4-G4)</f>
        <v>1.6666666666651508E-2</v>
      </c>
      <c r="T3" s="4">
        <f>J3*3</f>
        <v>1.4433756729740645E-2</v>
      </c>
    </row>
    <row r="4" spans="1:20" x14ac:dyDescent="0.2">
      <c r="A4" s="3">
        <f>289.5 + 11/60</f>
        <v>289.68333333333334</v>
      </c>
      <c r="B4" s="3">
        <f>A4*PI()/180</f>
        <v>5.0559279548189071</v>
      </c>
      <c r="C4" s="7">
        <v>508</v>
      </c>
      <c r="D4" s="3">
        <f>IF(C4=589, 1, Par!$A$7)</f>
        <v>10</v>
      </c>
      <c r="E4" s="3">
        <f>263.5</f>
        <v>263.5</v>
      </c>
      <c r="F4" s="3">
        <f>263 + 28/60</f>
        <v>263.46666666666664</v>
      </c>
      <c r="G4" s="3">
        <f>263 + 29/60</f>
        <v>263.48333333333335</v>
      </c>
      <c r="H4" s="3">
        <f t="shared" si="0"/>
        <v>263.48333333333335</v>
      </c>
      <c r="I4" s="3">
        <f t="shared" si="1"/>
        <v>4.5986516907963928</v>
      </c>
      <c r="J4" s="3">
        <f>MAX(Par!$A$5,(MAX(E4:G4)-MIN(E4:G4))/2/SQRT(12))</f>
        <v>4.8112522432507106E-3</v>
      </c>
      <c r="K4" s="3">
        <f>ABS(I4-B4)</f>
        <v>0.45727626402251431</v>
      </c>
      <c r="L4" s="1">
        <f>SIN((K4+Par!$C$2)/2)/SIN(Par!$C$2/2)</f>
        <v>1.521160627622701</v>
      </c>
      <c r="M4" s="6">
        <f>SQRT(J4^2+Par!$A$5^2)*PI()/180</f>
        <v>1.1875461390392357E-4</v>
      </c>
      <c r="N4" s="6">
        <f>ABS(COS((K4+Par!$C$2)/2))/(2*SIN(Par!$C$2/2))*M4</f>
        <v>1.2616102341609341E-4</v>
      </c>
      <c r="O4" s="1">
        <f>K4/PI() *180</f>
        <v>26.2</v>
      </c>
      <c r="Q4" s="8">
        <f t="shared" si="2"/>
        <v>3.333333333335986E-2</v>
      </c>
      <c r="R4" s="8">
        <f t="shared" si="3"/>
        <v>0</v>
      </c>
      <c r="S4" s="9">
        <f t="shared" si="4"/>
        <v>3.333333333335986E-2</v>
      </c>
      <c r="T4" s="4">
        <f>J4*3</f>
        <v>1.4433756729752133E-2</v>
      </c>
    </row>
    <row r="5" spans="1:20" x14ac:dyDescent="0.2">
      <c r="A5" s="3">
        <f>289.5 + 13/60</f>
        <v>289.71666666666664</v>
      </c>
      <c r="B5" s="3">
        <f>A5*PI()/180</f>
        <v>5.0565097312362379</v>
      </c>
      <c r="C5" s="7">
        <v>535</v>
      </c>
      <c r="D5" s="3">
        <f>IF(C5=589, 1, Par!$A$7)</f>
        <v>10</v>
      </c>
      <c r="E5" s="3">
        <f>263.5 + 7/60</f>
        <v>263.61666666666667</v>
      </c>
      <c r="F5" s="3">
        <f>263.5 + 5/60</f>
        <v>263.58333333333331</v>
      </c>
      <c r="G5" s="3">
        <f xml:space="preserve"> 263.5+ 5/60</f>
        <v>263.58333333333331</v>
      </c>
      <c r="H5" s="3">
        <f xml:space="preserve"> AVERAGE(E5:G5)</f>
        <v>263.59444444444443</v>
      </c>
      <c r="I5" s="3">
        <f t="shared" si="1"/>
        <v>4.6005909455208309</v>
      </c>
      <c r="J5" s="3">
        <f>MAX(Par!$A$5,(MAX(E5:G5)-MIN(E5:G5))/2/SQRT(12))</f>
        <v>4.8112522432507106E-3</v>
      </c>
      <c r="K5" s="3">
        <f>ABS(I5-B5)</f>
        <v>0.455918785715407</v>
      </c>
      <c r="L5" s="1">
        <f>SIN((K5+Par!$C$2)/2)/SIN(Par!$C$2/2)</f>
        <v>1.519718136724385</v>
      </c>
      <c r="M5" s="6">
        <f>SQRT(J5^2+Par!$A$5^2)*PI()/180</f>
        <v>1.1875461390392357E-4</v>
      </c>
      <c r="N5" s="6">
        <f>ABS(COS((K5+Par!$C$2)/2))/(2*SIN(Par!$C$2/2))*M5</f>
        <v>1.2622229971494828E-4</v>
      </c>
      <c r="O5" s="1">
        <f>K5/PI() *180</f>
        <v>26.122222222222184</v>
      </c>
      <c r="Q5" s="8">
        <f t="shared" si="2"/>
        <v>263.36666666666667</v>
      </c>
      <c r="R5" s="8">
        <f t="shared" si="3"/>
        <v>0</v>
      </c>
      <c r="S5" s="9">
        <f t="shared" si="4"/>
        <v>263.36666666666667</v>
      </c>
      <c r="T5" s="4">
        <f>J5*3</f>
        <v>1.4433756729752133E-2</v>
      </c>
    </row>
    <row r="6" spans="1:20" x14ac:dyDescent="0.2">
      <c r="A6" s="3">
        <f>289.5+11/60</f>
        <v>289.68333333333334</v>
      </c>
      <c r="B6" s="3">
        <f>A6*PI()/180</f>
        <v>5.0559279548189071</v>
      </c>
      <c r="C6" s="7">
        <v>470</v>
      </c>
      <c r="D6" s="3">
        <f>IF(C6=589, 1, Par!$A$7)</f>
        <v>10</v>
      </c>
      <c r="E6" s="3">
        <f>263+22/60</f>
        <v>263.36666666666667</v>
      </c>
      <c r="F6" s="3"/>
      <c r="H6" s="3">
        <f t="shared" si="0"/>
        <v>263.36666666666667</v>
      </c>
      <c r="I6" s="3">
        <f t="shared" si="1"/>
        <v>4.5966154733357323</v>
      </c>
      <c r="J6" s="3">
        <f>MAX(Par!$A$5,(MAX(E6:G6)-MIN(E6:G6))/2/SQRT(12))</f>
        <v>4.8112522432468821E-3</v>
      </c>
      <c r="K6" s="3">
        <f>ABS(I6-B6)</f>
        <v>0.45931248148317483</v>
      </c>
      <c r="L6" s="1">
        <f>SIN((K6+Par!$C$2)/2)/SIN(Par!$C$2/2)</f>
        <v>1.5233230498026191</v>
      </c>
      <c r="M6" s="6">
        <f>SQRT(J6^2+Par!$A$5^2)*PI()/180</f>
        <v>1.1875461390387631E-4</v>
      </c>
      <c r="N6" s="6">
        <f>ABS(COS((K6+Par!$C$2)/2))/(2*SIN(Par!$C$2/2))*M6</f>
        <v>1.2606900000023847E-4</v>
      </c>
      <c r="O6" s="1">
        <f>K6/PI() *180</f>
        <v>26.316666666666691</v>
      </c>
      <c r="Q6" s="8">
        <f t="shared" si="2"/>
        <v>0</v>
      </c>
      <c r="R6" s="8">
        <f t="shared" si="3"/>
        <v>0</v>
      </c>
      <c r="S6" s="9">
        <f t="shared" si="4"/>
        <v>0</v>
      </c>
      <c r="T6" s="4">
        <f>J6*3</f>
        <v>1.4433756729740645E-2</v>
      </c>
    </row>
    <row r="7" spans="1:20" x14ac:dyDescent="0.2">
      <c r="A7" s="3"/>
      <c r="B7" s="3">
        <f>A7*PI()/180</f>
        <v>0</v>
      </c>
      <c r="C7" s="7"/>
      <c r="D7" s="3">
        <f>IF(C7=589, 1, Par!$A$7)</f>
        <v>10</v>
      </c>
      <c r="E7" s="3"/>
      <c r="F7" s="3"/>
      <c r="G7" s="3"/>
      <c r="H7" s="3" t="e">
        <f t="shared" si="0"/>
        <v>#DIV/0!</v>
      </c>
      <c r="I7" s="3" t="e">
        <f t="shared" si="1"/>
        <v>#DIV/0!</v>
      </c>
      <c r="J7" s="3">
        <f>MAX(Par!$A$5,(MAX(E7:G7)-MIN(E7:G7))/2/SQRT(12))</f>
        <v>4.8112522432468821E-3</v>
      </c>
      <c r="K7" s="3" t="e">
        <f>ABS(I7-B7)</f>
        <v>#DIV/0!</v>
      </c>
      <c r="L7" s="1" t="e">
        <f>SIN((K7+Par!$C$2)/2)/SIN(Par!$C$2/2)</f>
        <v>#DIV/0!</v>
      </c>
      <c r="M7" s="6">
        <f>SQRT(J7^2+Par!$A$5^2)*PI()/180</f>
        <v>1.1875461390387631E-4</v>
      </c>
      <c r="N7" s="6" t="e">
        <f>ABS(COS((K7+Par!$C$2)/2))/(2*SIN(Par!$C$2/2))*M7</f>
        <v>#DIV/0!</v>
      </c>
      <c r="O7" s="1" t="e">
        <f>K7/PI() *180</f>
        <v>#DIV/0!</v>
      </c>
      <c r="Q7" s="8">
        <f t="shared" si="2"/>
        <v>0</v>
      </c>
      <c r="R7" s="8">
        <f t="shared" si="3"/>
        <v>0</v>
      </c>
      <c r="S7" s="9">
        <f t="shared" si="4"/>
        <v>0</v>
      </c>
      <c r="T7" s="4">
        <f>J7*3</f>
        <v>1.4433756729740645E-2</v>
      </c>
    </row>
    <row r="8" spans="1:20" x14ac:dyDescent="0.2">
      <c r="A8" s="3"/>
      <c r="B8" s="3">
        <f>A8*PI()/180</f>
        <v>0</v>
      </c>
      <c r="C8" s="7"/>
      <c r="D8" s="3">
        <f>IF(C8=589, 1, Par!$A$7)</f>
        <v>10</v>
      </c>
      <c r="E8" s="3"/>
      <c r="F8" s="3"/>
      <c r="G8" s="3"/>
      <c r="H8" s="3" t="e">
        <f t="shared" si="0"/>
        <v>#DIV/0!</v>
      </c>
      <c r="I8" s="3" t="e">
        <f t="shared" si="1"/>
        <v>#DIV/0!</v>
      </c>
      <c r="J8" s="3">
        <f>MAX(Par!$A$5,(MAX(E8:G8)-MIN(E8:G8))/2/SQRT(12))</f>
        <v>4.8112522432468821E-3</v>
      </c>
      <c r="K8" s="3" t="e">
        <f>ABS(I8-B8)</f>
        <v>#DIV/0!</v>
      </c>
      <c r="L8" s="1" t="e">
        <f>SIN((K8+Par!$C$2)/2)/SIN(Par!$C$2/2)</f>
        <v>#DIV/0!</v>
      </c>
      <c r="M8" s="6">
        <f>SQRT(J8^2+Par!$A$5^2)*PI()/180</f>
        <v>1.1875461390387631E-4</v>
      </c>
      <c r="N8" s="6" t="e">
        <f>ABS(COS((K8+Par!$C$2)/2))/(2*SIN(Par!$C$2/2))*M8</f>
        <v>#DIV/0!</v>
      </c>
      <c r="O8" s="1" t="e">
        <f>K8/PI() *180</f>
        <v>#DIV/0!</v>
      </c>
      <c r="Q8" s="8">
        <f t="shared" si="2"/>
        <v>0</v>
      </c>
      <c r="R8" s="8">
        <f t="shared" si="3"/>
        <v>0</v>
      </c>
      <c r="S8" s="9">
        <f t="shared" si="4"/>
        <v>0</v>
      </c>
      <c r="T8" s="4">
        <f>J8*3</f>
        <v>1.4433756729740645E-2</v>
      </c>
    </row>
    <row r="9" spans="1:20" x14ac:dyDescent="0.2">
      <c r="A9" s="3"/>
      <c r="B9" s="3">
        <f>A9*PI()/180</f>
        <v>0</v>
      </c>
      <c r="C9" s="7"/>
      <c r="D9" s="3">
        <f>IF(C9=589, 1, Par!$A$7)</f>
        <v>10</v>
      </c>
      <c r="E9" s="3"/>
      <c r="F9" s="3"/>
      <c r="G9" s="3"/>
      <c r="H9" s="3" t="e">
        <f t="shared" si="0"/>
        <v>#DIV/0!</v>
      </c>
      <c r="I9" s="3" t="e">
        <f t="shared" si="1"/>
        <v>#DIV/0!</v>
      </c>
      <c r="J9" s="3">
        <f>MAX(Par!$A$5,(MAX(E9:G9)-MIN(E9:G9))/2/SQRT(12))</f>
        <v>4.8112522432468821E-3</v>
      </c>
      <c r="K9" s="3" t="e">
        <f>ABS(I9-B9)</f>
        <v>#DIV/0!</v>
      </c>
      <c r="L9" s="1" t="e">
        <f>SIN((K9+Par!$C$2)/2)/SIN(Par!$C$2/2)</f>
        <v>#DIV/0!</v>
      </c>
      <c r="M9" s="6">
        <f>SQRT(J9^2+Par!$A$5^2)*PI()/180</f>
        <v>1.1875461390387631E-4</v>
      </c>
      <c r="N9" s="6" t="e">
        <f>ABS(COS((K9+Par!$C$2)/2))/(2*SIN(Par!$C$2/2))*M9</f>
        <v>#DIV/0!</v>
      </c>
      <c r="O9" s="1" t="e">
        <f>K9/PI() *180</f>
        <v>#DIV/0!</v>
      </c>
      <c r="Q9" s="8">
        <f t="shared" si="2"/>
        <v>0</v>
      </c>
      <c r="R9" s="8">
        <f t="shared" si="3"/>
        <v>0</v>
      </c>
      <c r="S9" s="9">
        <f t="shared" si="4"/>
        <v>0</v>
      </c>
      <c r="T9" s="4">
        <f>J9*3</f>
        <v>1.4433756729740645E-2</v>
      </c>
    </row>
    <row r="10" spans="1:20" x14ac:dyDescent="0.2">
      <c r="A10" s="3"/>
      <c r="B10" s="3">
        <f>A10*PI()/180</f>
        <v>0</v>
      </c>
      <c r="C10" s="7"/>
      <c r="D10" s="3">
        <f>IF(C10=589, 1, Par!$A$7)</f>
        <v>10</v>
      </c>
      <c r="E10" s="3"/>
      <c r="F10" s="3"/>
      <c r="G10" s="3"/>
      <c r="H10" s="3" t="e">
        <f t="shared" si="0"/>
        <v>#DIV/0!</v>
      </c>
      <c r="I10" s="3" t="e">
        <f t="shared" si="1"/>
        <v>#DIV/0!</v>
      </c>
      <c r="J10" s="3">
        <f>MAX(Par!$A$5,(MAX(E10:G10)-MIN(E10:G10))/2/SQRT(12))</f>
        <v>4.8112522432468821E-3</v>
      </c>
      <c r="K10" s="3" t="e">
        <f>ABS(I10-B10)</f>
        <v>#DIV/0!</v>
      </c>
      <c r="L10" s="1" t="e">
        <f>SIN((K10+Par!$C$2)/2)/SIN(Par!$C$2/2)</f>
        <v>#DIV/0!</v>
      </c>
      <c r="M10" s="6">
        <f>SQRT(J10^2+Par!$A$5^2)*PI()/180</f>
        <v>1.1875461390387631E-4</v>
      </c>
      <c r="N10" s="6" t="e">
        <f>ABS(COS((K10+Par!$C$2)/2))/(2*SIN(Par!$C$2/2))*M10</f>
        <v>#DIV/0!</v>
      </c>
      <c r="O10" s="1" t="e">
        <f>K10/PI() *180</f>
        <v>#DIV/0!</v>
      </c>
      <c r="Q10" s="8">
        <f t="shared" si="2"/>
        <v>0</v>
      </c>
      <c r="R10" s="8">
        <f t="shared" si="3"/>
        <v>0</v>
      </c>
      <c r="S10" s="9">
        <f t="shared" si="4"/>
        <v>0</v>
      </c>
      <c r="T10" s="4">
        <f>J10*3</f>
        <v>1.4433756729740645E-2</v>
      </c>
    </row>
    <row r="11" spans="1:20" x14ac:dyDescent="0.2">
      <c r="A11" s="3"/>
      <c r="B11" s="3">
        <f>A11*PI()/180</f>
        <v>0</v>
      </c>
      <c r="C11" s="7"/>
      <c r="D11" s="3">
        <f>IF(C11=589, 1, Par!$A$7)</f>
        <v>10</v>
      </c>
      <c r="E11" s="3"/>
      <c r="F11" s="3"/>
      <c r="G11" s="3"/>
      <c r="H11" s="3" t="e">
        <f t="shared" si="0"/>
        <v>#DIV/0!</v>
      </c>
      <c r="I11" s="3" t="e">
        <f t="shared" si="1"/>
        <v>#DIV/0!</v>
      </c>
      <c r="J11" s="3">
        <f>MAX(Par!$A$5,(MAX(E11:G11)-MIN(E11:G11))/2/SQRT(12))</f>
        <v>4.8112522432468821E-3</v>
      </c>
      <c r="K11" s="3" t="e">
        <f>ABS(I11-B11)</f>
        <v>#DIV/0!</v>
      </c>
      <c r="L11" s="1" t="e">
        <f>SIN((K11+Par!$C$2)/2)/SIN(Par!$C$2/2)</f>
        <v>#DIV/0!</v>
      </c>
      <c r="M11" s="6">
        <f>SQRT(J11^2+Par!$A$5^2)*PI()/180</f>
        <v>1.1875461390387631E-4</v>
      </c>
      <c r="N11" s="6" t="e">
        <f>ABS(COS((K11+Par!$C$2)/2))/(2*SIN(Par!$C$2/2))*M11</f>
        <v>#DIV/0!</v>
      </c>
      <c r="O11" s="1" t="e">
        <f>K11/PI() *180</f>
        <v>#DIV/0!</v>
      </c>
      <c r="Q11" s="8">
        <f t="shared" si="2"/>
        <v>0</v>
      </c>
      <c r="R11" s="8">
        <f t="shared" si="3"/>
        <v>0</v>
      </c>
      <c r="S11" s="9">
        <f t="shared" si="4"/>
        <v>0</v>
      </c>
      <c r="T11" s="4">
        <f>J11*3</f>
        <v>1.4433756729740645E-2</v>
      </c>
    </row>
    <row r="12" spans="1:20" x14ac:dyDescent="0.2">
      <c r="A12" s="3"/>
      <c r="B12" s="3">
        <f>A12*PI()/180</f>
        <v>0</v>
      </c>
      <c r="C12" s="7"/>
      <c r="D12" s="3">
        <f>IF(C12=589, 1, Par!$A$7)</f>
        <v>10</v>
      </c>
      <c r="E12" s="3"/>
      <c r="F12" s="3"/>
      <c r="G12" s="3"/>
      <c r="H12" s="3" t="e">
        <f t="shared" si="0"/>
        <v>#DIV/0!</v>
      </c>
      <c r="I12" s="3" t="e">
        <f t="shared" si="1"/>
        <v>#DIV/0!</v>
      </c>
      <c r="J12" s="3">
        <f>MAX(Par!$A$5,(MAX(E12:G12)-MIN(E12:G12))/2/SQRT(12))</f>
        <v>4.8112522432468821E-3</v>
      </c>
      <c r="K12" s="3" t="e">
        <f>ABS(I12-B12)</f>
        <v>#DIV/0!</v>
      </c>
      <c r="L12" s="1" t="e">
        <f>SIN((K12+Par!$C$2)/2)/SIN(Par!$C$2/2)</f>
        <v>#DIV/0!</v>
      </c>
      <c r="M12" s="6">
        <f>SQRT(J12^2+Par!$A$5^2)*PI()/180</f>
        <v>1.1875461390387631E-4</v>
      </c>
      <c r="N12" s="6" t="e">
        <f>ABS(COS((K12+Par!$C$2)/2))/(2*SIN(Par!$C$2/2))*M12</f>
        <v>#DIV/0!</v>
      </c>
      <c r="O12" s="1" t="e">
        <f>K12/PI() *180</f>
        <v>#DIV/0!</v>
      </c>
      <c r="Q12" s="8">
        <f t="shared" si="2"/>
        <v>0</v>
      </c>
      <c r="R12" s="8">
        <f t="shared" si="3"/>
        <v>0</v>
      </c>
      <c r="S12" s="9">
        <f t="shared" si="4"/>
        <v>0</v>
      </c>
      <c r="T12" s="4">
        <f>J12*3</f>
        <v>1.4433756729740645E-2</v>
      </c>
    </row>
    <row r="13" spans="1:20" x14ac:dyDescent="0.2">
      <c r="A13" s="3"/>
      <c r="B13" s="3">
        <f>A13*PI()/180</f>
        <v>0</v>
      </c>
      <c r="C13" s="7"/>
      <c r="D13" s="3">
        <f>IF(C13=589, 1, Par!$A$7)</f>
        <v>10</v>
      </c>
      <c r="E13" s="3"/>
      <c r="F13" s="3"/>
      <c r="G13" s="3"/>
      <c r="H13" s="3" t="e">
        <f t="shared" si="0"/>
        <v>#DIV/0!</v>
      </c>
      <c r="I13" s="3" t="e">
        <f t="shared" si="1"/>
        <v>#DIV/0!</v>
      </c>
      <c r="J13" s="3">
        <f>MAX(Par!$A$5,(MAX(E13:G13)-MIN(E13:G13))/2/SQRT(12))</f>
        <v>4.8112522432468821E-3</v>
      </c>
      <c r="K13" s="3" t="e">
        <f>ABS(I13-B13)</f>
        <v>#DIV/0!</v>
      </c>
      <c r="L13" s="1" t="e">
        <f>SIN((K13+Par!$C$2)/2)/SIN(Par!$C$2/2)</f>
        <v>#DIV/0!</v>
      </c>
      <c r="M13" s="6">
        <f>SQRT(J13^2+Par!$A$5^2)*PI()/180</f>
        <v>1.1875461390387631E-4</v>
      </c>
      <c r="N13" s="6" t="e">
        <f>ABS(COS((K13+Par!$C$2)/2))/(2*SIN(Par!$C$2/2))*M13</f>
        <v>#DIV/0!</v>
      </c>
      <c r="O13" s="1" t="e">
        <f>K13/PI() *180</f>
        <v>#DIV/0!</v>
      </c>
      <c r="Q13" s="8">
        <f t="shared" si="2"/>
        <v>0</v>
      </c>
      <c r="R13" s="8">
        <f t="shared" si="3"/>
        <v>0</v>
      </c>
      <c r="S13" s="9">
        <f t="shared" si="4"/>
        <v>0</v>
      </c>
      <c r="T13" s="4">
        <f>J13*3</f>
        <v>1.4433756729740645E-2</v>
      </c>
    </row>
    <row r="14" spans="1:20" x14ac:dyDescent="0.2">
      <c r="A14" s="3"/>
      <c r="B14" s="3">
        <f>A14*PI()/180</f>
        <v>0</v>
      </c>
      <c r="C14" s="7"/>
      <c r="D14" s="3">
        <f>IF(C14=589, 1, Par!$A$7)</f>
        <v>10</v>
      </c>
      <c r="E14" s="3"/>
      <c r="F14" s="3"/>
      <c r="G14" s="3"/>
      <c r="H14" s="3" t="e">
        <f t="shared" si="0"/>
        <v>#DIV/0!</v>
      </c>
      <c r="I14" s="3" t="e">
        <f t="shared" si="1"/>
        <v>#DIV/0!</v>
      </c>
      <c r="J14" s="3">
        <f>MAX(Par!$A$5,(MAX(E14:G14)-MIN(E14:G14))/2/SQRT(12))</f>
        <v>4.8112522432468821E-3</v>
      </c>
      <c r="K14" s="3" t="e">
        <f>ABS(I14-B14)</f>
        <v>#DIV/0!</v>
      </c>
      <c r="L14" s="1" t="e">
        <f>SIN((K14+Par!$C$2)/2)/SIN(Par!$C$2/2)</f>
        <v>#DIV/0!</v>
      </c>
      <c r="M14" s="6">
        <f>SQRT(J14^2+Par!$A$5^2)*PI()/180</f>
        <v>1.1875461390387631E-4</v>
      </c>
      <c r="N14" s="6" t="e">
        <f>ABS(COS((K14+Par!$C$2)/2))/(2*SIN(Par!$C$2/2))*M14</f>
        <v>#DIV/0!</v>
      </c>
      <c r="O14" s="1" t="e">
        <f>K14/PI() *180</f>
        <v>#DIV/0!</v>
      </c>
      <c r="Q14" s="8">
        <f t="shared" si="2"/>
        <v>0</v>
      </c>
      <c r="R14" s="8">
        <f t="shared" si="3"/>
        <v>0</v>
      </c>
      <c r="S14" s="9">
        <f t="shared" si="4"/>
        <v>0</v>
      </c>
      <c r="T14" s="4">
        <f>J14*3</f>
        <v>1.4433756729740645E-2</v>
      </c>
    </row>
    <row r="15" spans="1:20" x14ac:dyDescent="0.2">
      <c r="A15" s="3"/>
      <c r="B15" s="3">
        <f>A15*PI()/180</f>
        <v>0</v>
      </c>
      <c r="C15" s="7"/>
      <c r="D15" s="3">
        <f>IF(C15=589, 1, Par!$A$7)</f>
        <v>10</v>
      </c>
      <c r="E15" s="3"/>
      <c r="F15" s="3"/>
      <c r="G15" s="3"/>
      <c r="H15" s="3" t="e">
        <f t="shared" si="0"/>
        <v>#DIV/0!</v>
      </c>
      <c r="I15" s="3" t="e">
        <f t="shared" si="1"/>
        <v>#DIV/0!</v>
      </c>
      <c r="J15" s="3">
        <f>MAX(Par!$A$5,(MAX(E15:G15)-MIN(E15:G15))/2/SQRT(12))</f>
        <v>4.8112522432468821E-3</v>
      </c>
      <c r="K15" s="3" t="e">
        <f>ABS(I15-B15)</f>
        <v>#DIV/0!</v>
      </c>
      <c r="L15" s="1" t="e">
        <f>SIN((K15+Par!$C$2)/2)/SIN(Par!$C$2/2)</f>
        <v>#DIV/0!</v>
      </c>
      <c r="M15" s="6">
        <f>SQRT(J15^2+Par!$A$5^2)*PI()/180</f>
        <v>1.1875461390387631E-4</v>
      </c>
      <c r="N15" s="6" t="e">
        <f>ABS(COS((K15+Par!$C$2)/2))/(2*SIN(Par!$C$2/2))*M15</f>
        <v>#DIV/0!</v>
      </c>
      <c r="O15" s="1" t="e">
        <f>K15/PI() *180</f>
        <v>#DIV/0!</v>
      </c>
      <c r="Q15" s="8">
        <f t="shared" si="2"/>
        <v>0</v>
      </c>
      <c r="R15" s="8">
        <f t="shared" si="3"/>
        <v>0</v>
      </c>
      <c r="S15" s="9">
        <f t="shared" si="4"/>
        <v>0</v>
      </c>
      <c r="T15" s="4">
        <f>J15*3</f>
        <v>1.4433756729740645E-2</v>
      </c>
    </row>
    <row r="16" spans="1:20" x14ac:dyDescent="0.2">
      <c r="A16" s="3"/>
      <c r="B16" s="3">
        <f>A16*PI()/180</f>
        <v>0</v>
      </c>
      <c r="C16" s="7"/>
      <c r="D16" s="3">
        <f>IF(C16=589, 1, Par!$A$7)</f>
        <v>10</v>
      </c>
      <c r="E16" s="3"/>
      <c r="F16" s="3"/>
      <c r="G16" s="3"/>
      <c r="H16" s="3" t="e">
        <f t="shared" si="0"/>
        <v>#DIV/0!</v>
      </c>
      <c r="I16" s="3" t="e">
        <f t="shared" si="1"/>
        <v>#DIV/0!</v>
      </c>
      <c r="J16" s="3">
        <f>MAX(Par!$A$5,(MAX(E16:G16)-MIN(E16:G16))/2/SQRT(12))</f>
        <v>4.8112522432468821E-3</v>
      </c>
      <c r="K16" s="3" t="e">
        <f>ABS(I16-B16)</f>
        <v>#DIV/0!</v>
      </c>
      <c r="L16" s="1" t="e">
        <f>SIN((K16+Par!$C$2)/2)/SIN(Par!$C$2/2)</f>
        <v>#DIV/0!</v>
      </c>
      <c r="M16" s="6">
        <f>SQRT(J16^2+Par!$A$5^2)*PI()/180</f>
        <v>1.1875461390387631E-4</v>
      </c>
      <c r="N16" s="6" t="e">
        <f>ABS(COS((K16+Par!$C$2)/2))/(2*SIN(Par!$C$2/2))*M16</f>
        <v>#DIV/0!</v>
      </c>
      <c r="O16" s="1" t="e">
        <f>K16/PI() *180</f>
        <v>#DIV/0!</v>
      </c>
      <c r="Q16" s="8">
        <f t="shared" si="2"/>
        <v>0</v>
      </c>
      <c r="R16" s="8">
        <f t="shared" si="3"/>
        <v>0</v>
      </c>
      <c r="S16" s="9">
        <f t="shared" si="4"/>
        <v>0</v>
      </c>
      <c r="T16" s="4">
        <f>J16*3</f>
        <v>1.4433756729740645E-2</v>
      </c>
    </row>
    <row r="19" spans="2:4" x14ac:dyDescent="0.2">
      <c r="B19" s="8"/>
      <c r="C19" s="8"/>
      <c r="D19" s="8"/>
    </row>
    <row r="20" spans="2:4" x14ac:dyDescent="0.2">
      <c r="B20" s="8"/>
      <c r="C20" s="8"/>
      <c r="D20" s="8"/>
    </row>
    <row r="21" spans="2:4" x14ac:dyDescent="0.2">
      <c r="B21" s="8"/>
      <c r="C21" s="8"/>
      <c r="D21" s="8"/>
    </row>
    <row r="22" spans="2:4" x14ac:dyDescent="0.2">
      <c r="B22" s="8"/>
      <c r="C22" s="8"/>
      <c r="D22" s="8"/>
    </row>
    <row r="23" spans="2:4" x14ac:dyDescent="0.2">
      <c r="B23" s="8"/>
      <c r="C23" s="8"/>
      <c r="D23" s="8"/>
    </row>
    <row r="24" spans="2:4" x14ac:dyDescent="0.2">
      <c r="B24" s="8"/>
      <c r="C24" s="8"/>
      <c r="D24" s="8"/>
    </row>
    <row r="25" spans="2:4" x14ac:dyDescent="0.2">
      <c r="B25" s="8"/>
      <c r="C25" s="8"/>
      <c r="D25" s="8"/>
    </row>
    <row r="26" spans="2:4" x14ac:dyDescent="0.2">
      <c r="B26" s="8"/>
      <c r="C26" s="8"/>
      <c r="D26" s="8"/>
    </row>
    <row r="27" spans="2:4" x14ac:dyDescent="0.2">
      <c r="B27" s="8"/>
      <c r="C27" s="8"/>
      <c r="D27" s="8"/>
    </row>
    <row r="28" spans="2:4" x14ac:dyDescent="0.2">
      <c r="B28" s="8"/>
      <c r="C28" s="8"/>
      <c r="D28" s="8"/>
    </row>
    <row r="29" spans="2:4" x14ac:dyDescent="0.2">
      <c r="B29" s="8"/>
      <c r="C29" s="8"/>
      <c r="D29" s="8"/>
    </row>
    <row r="30" spans="2:4" x14ac:dyDescent="0.2">
      <c r="B30" s="8"/>
      <c r="C30" s="8"/>
      <c r="D30" s="8"/>
    </row>
    <row r="31" spans="2:4" x14ac:dyDescent="0.2">
      <c r="B31" s="8"/>
      <c r="C31" s="8"/>
      <c r="D31" s="8"/>
    </row>
    <row r="32" spans="2:4" x14ac:dyDescent="0.2">
      <c r="B32" s="8"/>
      <c r="C32" s="8"/>
      <c r="D32" s="8"/>
    </row>
    <row r="33" spans="2:7" x14ac:dyDescent="0.2">
      <c r="B33" s="8"/>
      <c r="C33" s="8"/>
      <c r="D33" s="8"/>
    </row>
    <row r="34" spans="2:7" x14ac:dyDescent="0.2">
      <c r="B34" s="8"/>
      <c r="C34" s="8"/>
      <c r="D34" s="8"/>
      <c r="E34" s="8"/>
      <c r="F34" s="8"/>
      <c r="G34" s="8"/>
    </row>
    <row r="35" spans="2:7" x14ac:dyDescent="0.2">
      <c r="B35" s="8"/>
      <c r="C35" s="8"/>
      <c r="D35" s="8"/>
      <c r="E35" s="8"/>
      <c r="F35" s="8"/>
      <c r="G35" s="8"/>
    </row>
    <row r="36" spans="2:7" x14ac:dyDescent="0.2">
      <c r="B36" s="8"/>
      <c r="C36" s="8"/>
      <c r="D36" s="8"/>
      <c r="E36" s="8"/>
      <c r="F36" s="8"/>
      <c r="G36" s="8"/>
    </row>
    <row r="37" spans="2:7" x14ac:dyDescent="0.2">
      <c r="B37" s="8"/>
      <c r="C37" s="8"/>
      <c r="D37" s="8"/>
      <c r="E37" s="8"/>
      <c r="F37" s="8"/>
      <c r="G37" s="8"/>
    </row>
    <row r="38" spans="2:7" x14ac:dyDescent="0.2">
      <c r="B38" s="8"/>
      <c r="C38" s="8"/>
      <c r="D38" s="8"/>
      <c r="E38" s="8"/>
      <c r="F38" s="8"/>
      <c r="G38" s="8"/>
    </row>
    <row r="39" spans="2:7" x14ac:dyDescent="0.2">
      <c r="B39" s="8"/>
      <c r="C39" s="8"/>
      <c r="D39" s="8"/>
      <c r="E39" s="8"/>
      <c r="F39" s="8"/>
      <c r="G39" s="8"/>
    </row>
    <row r="40" spans="2:7" x14ac:dyDescent="0.2">
      <c r="B40" s="8"/>
      <c r="C40" s="8"/>
      <c r="D40" s="8"/>
      <c r="E40" s="8"/>
      <c r="F40" s="8"/>
      <c r="G40" s="8"/>
    </row>
    <row r="41" spans="2:7" x14ac:dyDescent="0.2">
      <c r="B41" s="8"/>
      <c r="C41" s="8"/>
      <c r="D41" s="8"/>
      <c r="E41" s="8"/>
      <c r="F41" s="8"/>
      <c r="G41" s="8"/>
    </row>
    <row r="42" spans="2:7" x14ac:dyDescent="0.2">
      <c r="B42" s="8"/>
      <c r="C42" s="8"/>
      <c r="D42" s="8"/>
      <c r="E42" s="8"/>
      <c r="F42" s="8"/>
      <c r="G42" s="8"/>
    </row>
    <row r="43" spans="2:7" x14ac:dyDescent="0.2">
      <c r="B43" s="8"/>
      <c r="C43" s="8"/>
      <c r="D43" s="8"/>
      <c r="E43" s="8"/>
      <c r="F43" s="8"/>
      <c r="G43" s="8"/>
    </row>
    <row r="44" spans="2:7" x14ac:dyDescent="0.2">
      <c r="B44" s="8"/>
      <c r="C44" s="8"/>
      <c r="D44" s="8"/>
      <c r="E44" s="8"/>
      <c r="F44" s="8"/>
      <c r="G44" s="8"/>
    </row>
    <row r="45" spans="2:7" x14ac:dyDescent="0.2">
      <c r="B45" s="8"/>
      <c r="C45" s="8"/>
      <c r="D45" s="8"/>
      <c r="E45" s="8"/>
      <c r="F45" s="8"/>
      <c r="G45" s="8"/>
    </row>
    <row r="46" spans="2:7" x14ac:dyDescent="0.2">
      <c r="B46" s="8"/>
      <c r="C46" s="8"/>
      <c r="D46" s="8"/>
      <c r="E46" s="8"/>
      <c r="F46" s="8"/>
      <c r="G46" s="8"/>
    </row>
    <row r="47" spans="2:7" x14ac:dyDescent="0.2">
      <c r="B47" s="8"/>
      <c r="C47" s="8"/>
      <c r="D47" s="8"/>
      <c r="E47" s="8"/>
      <c r="F47" s="8"/>
      <c r="G47" s="8"/>
    </row>
    <row r="48" spans="2:7" x14ac:dyDescent="0.2">
      <c r="B48" s="8"/>
      <c r="C48" s="8"/>
      <c r="D48" s="8"/>
      <c r="E48" s="8"/>
      <c r="F48" s="8"/>
      <c r="G48" s="8"/>
    </row>
    <row r="49" spans="2:7" x14ac:dyDescent="0.2">
      <c r="B49" s="8"/>
      <c r="C49" s="8"/>
      <c r="D49" s="8"/>
      <c r="E49" s="8"/>
      <c r="F49" s="8"/>
      <c r="G49" s="8"/>
    </row>
    <row r="50" spans="2:7" x14ac:dyDescent="0.2">
      <c r="B50" s="8"/>
      <c r="C50" s="8"/>
      <c r="D50" s="8"/>
      <c r="E50" s="8"/>
      <c r="F50" s="8"/>
      <c r="G50" s="8"/>
    </row>
    <row r="51" spans="2:7" x14ac:dyDescent="0.2">
      <c r="B51" s="8"/>
      <c r="C51" s="8"/>
      <c r="D51" s="8"/>
      <c r="E51" s="8"/>
      <c r="F51" s="8"/>
      <c r="G51" s="8"/>
    </row>
    <row r="52" spans="2:7" x14ac:dyDescent="0.2">
      <c r="B52" s="8"/>
      <c r="C52" s="8"/>
      <c r="D52" s="8"/>
      <c r="E52" s="8"/>
      <c r="F52" s="8"/>
      <c r="G52" s="8"/>
    </row>
    <row r="53" spans="2:7" x14ac:dyDescent="0.2">
      <c r="B53" s="8"/>
      <c r="C53" s="8"/>
      <c r="D53" s="8"/>
      <c r="E53" s="8"/>
      <c r="F53" s="8"/>
      <c r="G53" s="8"/>
    </row>
    <row r="54" spans="2:7" x14ac:dyDescent="0.2">
      <c r="B54" s="8"/>
      <c r="C54" s="8"/>
      <c r="D54" s="8"/>
      <c r="E54" s="8"/>
      <c r="F54" s="8"/>
      <c r="G54" s="8"/>
    </row>
    <row r="55" spans="2:7" x14ac:dyDescent="0.2">
      <c r="B55" s="8"/>
      <c r="C55" s="8"/>
      <c r="D55" s="8"/>
      <c r="E55" s="8"/>
      <c r="F55" s="8"/>
      <c r="G55" s="8"/>
    </row>
    <row r="56" spans="2:7" x14ac:dyDescent="0.2">
      <c r="B56" s="8"/>
      <c r="C56" s="8"/>
      <c r="D56" s="8"/>
      <c r="E56" s="8"/>
      <c r="F56" s="8"/>
      <c r="G56" s="8"/>
    </row>
    <row r="57" spans="2:7" x14ac:dyDescent="0.2">
      <c r="B57" s="8"/>
      <c r="C57" s="8"/>
      <c r="D57" s="8"/>
      <c r="E57" s="8"/>
      <c r="F57" s="8"/>
      <c r="G57" s="8"/>
    </row>
    <row r="58" spans="2:7" x14ac:dyDescent="0.2">
      <c r="B58" s="8"/>
      <c r="C58" s="8"/>
      <c r="D58" s="8"/>
      <c r="E58" s="8"/>
      <c r="F58" s="8"/>
      <c r="G58" s="8"/>
    </row>
    <row r="59" spans="2:7" x14ac:dyDescent="0.2">
      <c r="B59" s="8"/>
      <c r="C59" s="8"/>
      <c r="D59" s="8"/>
      <c r="E59" s="8"/>
      <c r="F59" s="8"/>
      <c r="G59" s="8"/>
    </row>
    <row r="60" spans="2:7" x14ac:dyDescent="0.2">
      <c r="B60" s="8"/>
      <c r="C60" s="8"/>
      <c r="D60" s="8"/>
      <c r="E60" s="8"/>
      <c r="F60" s="8"/>
      <c r="G60" s="8"/>
    </row>
    <row r="61" spans="2:7" x14ac:dyDescent="0.2">
      <c r="B61" s="8"/>
      <c r="C61" s="8"/>
      <c r="D61" s="8"/>
      <c r="E61" s="8"/>
      <c r="F61" s="8"/>
      <c r="G61" s="8"/>
    </row>
    <row r="62" spans="2:7" x14ac:dyDescent="0.2">
      <c r="B62" s="8"/>
      <c r="C62" s="8"/>
      <c r="D62" s="8"/>
      <c r="E62" s="8"/>
      <c r="F62" s="8"/>
      <c r="G62" s="8"/>
    </row>
    <row r="63" spans="2:7" x14ac:dyDescent="0.2">
      <c r="B63" s="8"/>
      <c r="C63" s="8"/>
      <c r="D63" s="8"/>
      <c r="E63" s="8"/>
      <c r="F63" s="8"/>
      <c r="G63" s="8"/>
    </row>
    <row r="64" spans="2:7" x14ac:dyDescent="0.2">
      <c r="B64" s="8"/>
      <c r="C64" s="8"/>
      <c r="D64" s="8"/>
      <c r="E64" s="8"/>
      <c r="F64" s="8"/>
      <c r="G64" s="8"/>
    </row>
    <row r="65" spans="2:7" x14ac:dyDescent="0.2">
      <c r="B65" s="8"/>
      <c r="C65" s="8"/>
      <c r="D65" s="8"/>
      <c r="E65" s="8"/>
      <c r="F65" s="8"/>
      <c r="G65" s="8"/>
    </row>
    <row r="66" spans="2:7" x14ac:dyDescent="0.2">
      <c r="B66" s="8"/>
      <c r="C66" s="8"/>
      <c r="D66" s="8"/>
      <c r="E66" s="8"/>
      <c r="F66" s="8"/>
      <c r="G66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43963-c43f-42a4-b0bc-b203e64410f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C6E3A01A79A4BB6F66956A6120D17" ma:contentTypeVersion="10" ma:contentTypeDescription="Creare un nuovo documento." ma:contentTypeScope="" ma:versionID="e3c69ea4484af81787e2f2ca5b7c2d90">
  <xsd:schema xmlns:xsd="http://www.w3.org/2001/XMLSchema" xmlns:xs="http://www.w3.org/2001/XMLSchema" xmlns:p="http://schemas.microsoft.com/office/2006/metadata/properties" xmlns:ns3="21343963-c43f-42a4-b0bc-b203e64410f4" targetNamespace="http://schemas.microsoft.com/office/2006/metadata/properties" ma:root="true" ma:fieldsID="e2990c14f9044d85e8ac9d5a1ddf0edc" ns3:_="">
    <xsd:import namespace="21343963-c43f-42a4-b0bc-b203e64410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43963-c43f-42a4-b0bc-b203e64410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ABF50-EE8B-4351-A4DB-75A5FB688D45}">
  <ds:schemaRefs>
    <ds:schemaRef ds:uri="21343963-c43f-42a4-b0bc-b203e64410f4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7C18F3-25D4-4484-AEFB-6A11F38AC99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1343963-c43f-42a4-b0bc-b203e64410f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BB7456-6B29-4936-8EF5-74CECD5E52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</vt:lpstr>
      <vt:lpstr>Dati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MIROLO MANUELE [SM2001968]</dc:creator>
  <cp:keywords/>
  <dc:description/>
  <cp:lastModifiedBy>TEDESCHINI MICHELE [SM2001925]</cp:lastModifiedBy>
  <cp:revision/>
  <dcterms:created xsi:type="dcterms:W3CDTF">2026-10-20T13:43:00Z</dcterms:created>
  <dcterms:modified xsi:type="dcterms:W3CDTF">2026-10-23T13:48:00Z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0x010100150C6E3A01A79A4BB6F66956A6120D17</vt:lpwstr>
  </property>
</Properties>
</file>