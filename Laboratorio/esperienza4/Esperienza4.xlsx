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lessiobrusini/Downloads/"/>
    </mc:Choice>
  </mc:AlternateContent>
  <xr:revisionPtr revIDLastSave="0" documentId="13_ncr:800001_{1F511E07-4B10-944B-AD32-1F3865122B74}" xr6:coauthVersionLast="47" xr6:coauthVersionMax="47" xr10:uidLastSave="{00000000-0000-0000-0000-000000000000}"/>
  <bookViews>
    <workbookView xWindow="0" yWindow="660" windowWidth="30240" windowHeight="18980" activeTab="1" xr2:uid="{91E0D718-4DE5-43B7-A638-E0E64063323F}"/>
  </bookViews>
  <sheets>
    <sheet name="Parametri" sheetId="1" r:id="rId1"/>
    <sheet name="Da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2" i="1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A183" i="2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2" i="2"/>
  <c r="D90" i="2" l="1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135" i="2"/>
  <c r="D185" i="2"/>
  <c r="D186" i="2"/>
  <c r="D187" i="2"/>
  <c r="D188" i="2"/>
  <c r="D189" i="2"/>
  <c r="D191" i="2"/>
  <c r="D192" i="2"/>
  <c r="D194" i="2"/>
  <c r="D195" i="2"/>
  <c r="D197" i="2"/>
  <c r="D199" i="2"/>
  <c r="D201" i="2"/>
  <c r="D3" i="2"/>
  <c r="D5" i="2"/>
  <c r="D8" i="2"/>
  <c r="D10" i="2"/>
  <c r="D12" i="2"/>
  <c r="D14" i="2"/>
  <c r="D18" i="2"/>
  <c r="D20" i="2"/>
  <c r="D23" i="2"/>
  <c r="D25" i="2"/>
  <c r="D27" i="2"/>
  <c r="D31" i="2"/>
  <c r="D34" i="2"/>
  <c r="D37" i="2"/>
  <c r="D39" i="2"/>
  <c r="D42" i="2"/>
  <c r="D44" i="2"/>
  <c r="D45" i="2"/>
  <c r="D47" i="2"/>
  <c r="D50" i="2"/>
  <c r="D52" i="2"/>
  <c r="D54" i="2"/>
  <c r="D56" i="2"/>
  <c r="D58" i="2"/>
  <c r="D60" i="2"/>
  <c r="D62" i="2"/>
  <c r="D64" i="2"/>
  <c r="D65" i="2"/>
  <c r="D69" i="2"/>
  <c r="D15" i="2"/>
  <c r="D29" i="2"/>
  <c r="D33" i="2"/>
  <c r="D36" i="2"/>
  <c r="D38" i="2"/>
  <c r="D46" i="2"/>
  <c r="D51" i="2"/>
  <c r="D57" i="2"/>
  <c r="D59" i="2"/>
  <c r="D63" i="2"/>
  <c r="D67" i="2"/>
  <c r="D71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83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4" i="2"/>
  <c r="D193" i="2"/>
  <c r="D196" i="2"/>
  <c r="D198" i="2"/>
  <c r="D200" i="2"/>
  <c r="D2" i="2"/>
  <c r="D4" i="2"/>
  <c r="D6" i="2"/>
  <c r="D7" i="2"/>
  <c r="D9" i="2"/>
  <c r="D11" i="2"/>
  <c r="D13" i="2"/>
  <c r="D16" i="2"/>
  <c r="D17" i="2"/>
  <c r="D19" i="2"/>
  <c r="D21" i="2"/>
  <c r="D22" i="2"/>
  <c r="D24" i="2"/>
  <c r="D26" i="2"/>
  <c r="D28" i="2"/>
  <c r="D30" i="2"/>
  <c r="D32" i="2"/>
  <c r="D35" i="2"/>
  <c r="D40" i="2"/>
  <c r="D41" i="2"/>
  <c r="D43" i="2"/>
  <c r="D48" i="2"/>
  <c r="D49" i="2"/>
  <c r="D53" i="2"/>
  <c r="D55" i="2"/>
  <c r="D61" i="2"/>
  <c r="D66" i="2"/>
  <c r="D68" i="2"/>
  <c r="D70" i="2"/>
  <c r="D72" i="2"/>
  <c r="D190" i="2"/>
</calcChain>
</file>

<file path=xl/sharedStrings.xml><?xml version="1.0" encoding="utf-8"?>
<sst xmlns="http://schemas.openxmlformats.org/spreadsheetml/2006/main" count="9" uniqueCount="9">
  <si>
    <t>err_θ</t>
  </si>
  <si>
    <t>err_V</t>
  </si>
  <si>
    <t>err_θ [rad]</t>
  </si>
  <si>
    <t>θ [gradi]</t>
  </si>
  <si>
    <t>θ [rad]</t>
  </si>
  <si>
    <t>V</t>
  </si>
  <si>
    <t>sigma_θ</t>
  </si>
  <si>
    <t>sigma_V</t>
  </si>
  <si>
    <t>err_V (se balla)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</si>
</sst>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/>
    <xf numFmtId="0" fontId="1" fillId="2" borderId="2" xfId="0" applyFont="1" applyFill="1" applyBorder="1"/>
    <xf numFmtId="2" fontId="1" fillId="3" borderId="2" xfId="0" applyNumberFormat="1" applyFont="1" applyFill="1" applyBorder="1"/>
    <xf numFmtId="165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Dati!$C$1</c:f>
              <c:strCache>
                <c:ptCount val="1"/>
                <c:pt idx="0">
                  <c:v>V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Dati!$A$2:$A$202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</c:numCache>
            </c:numRef>
          </c:xVal>
          <c:yVal>
            <c:numRef>
              <c:f>Dati!$C$2:$C$202</c:f>
              <c:numCache>
                <c:formatCode>0.00</c:formatCode>
                <c:ptCount val="201"/>
                <c:pt idx="0">
                  <c:v>4.82</c:v>
                </c:pt>
                <c:pt idx="1">
                  <c:v>4.8</c:v>
                </c:pt>
                <c:pt idx="2">
                  <c:v>4.7699999999999996</c:v>
                </c:pt>
                <c:pt idx="3">
                  <c:v>4.78</c:v>
                </c:pt>
                <c:pt idx="4">
                  <c:v>4.74</c:v>
                </c:pt>
                <c:pt idx="5">
                  <c:v>4.71</c:v>
                </c:pt>
                <c:pt idx="6">
                  <c:v>4.68</c:v>
                </c:pt>
                <c:pt idx="7">
                  <c:v>4.66</c:v>
                </c:pt>
                <c:pt idx="8">
                  <c:v>4.62</c:v>
                </c:pt>
                <c:pt idx="9">
                  <c:v>4.59</c:v>
                </c:pt>
                <c:pt idx="10">
                  <c:v>4.5599999999999996</c:v>
                </c:pt>
                <c:pt idx="11">
                  <c:v>4.51</c:v>
                </c:pt>
                <c:pt idx="12">
                  <c:v>4.46</c:v>
                </c:pt>
                <c:pt idx="13">
                  <c:v>4.4000000000000004</c:v>
                </c:pt>
                <c:pt idx="14">
                  <c:v>4.37</c:v>
                </c:pt>
                <c:pt idx="15">
                  <c:v>4.32</c:v>
                </c:pt>
                <c:pt idx="16">
                  <c:v>4.2300000000000004</c:v>
                </c:pt>
                <c:pt idx="17">
                  <c:v>4.18</c:v>
                </c:pt>
                <c:pt idx="18">
                  <c:v>4.0999999999999996</c:v>
                </c:pt>
                <c:pt idx="19">
                  <c:v>4.01</c:v>
                </c:pt>
                <c:pt idx="20">
                  <c:v>3.96</c:v>
                </c:pt>
                <c:pt idx="21">
                  <c:v>3.88</c:v>
                </c:pt>
                <c:pt idx="22">
                  <c:v>3.81</c:v>
                </c:pt>
                <c:pt idx="23">
                  <c:v>3.74</c:v>
                </c:pt>
                <c:pt idx="24">
                  <c:v>3.68</c:v>
                </c:pt>
                <c:pt idx="25">
                  <c:v>3.6</c:v>
                </c:pt>
                <c:pt idx="26">
                  <c:v>3.54</c:v>
                </c:pt>
                <c:pt idx="27">
                  <c:v>3.47</c:v>
                </c:pt>
                <c:pt idx="28">
                  <c:v>3.41</c:v>
                </c:pt>
                <c:pt idx="29">
                  <c:v>3.37</c:v>
                </c:pt>
                <c:pt idx="30">
                  <c:v>3.29</c:v>
                </c:pt>
                <c:pt idx="31">
                  <c:v>3.22</c:v>
                </c:pt>
                <c:pt idx="32">
                  <c:v>3.16</c:v>
                </c:pt>
                <c:pt idx="33">
                  <c:v>3.1</c:v>
                </c:pt>
                <c:pt idx="34">
                  <c:v>3.04</c:v>
                </c:pt>
                <c:pt idx="35">
                  <c:v>2.99</c:v>
                </c:pt>
                <c:pt idx="36">
                  <c:v>2.95</c:v>
                </c:pt>
                <c:pt idx="37">
                  <c:v>2.9</c:v>
                </c:pt>
                <c:pt idx="38">
                  <c:v>2.86</c:v>
                </c:pt>
                <c:pt idx="39">
                  <c:v>2.84</c:v>
                </c:pt>
                <c:pt idx="40">
                  <c:v>2.8</c:v>
                </c:pt>
                <c:pt idx="41">
                  <c:v>2.79</c:v>
                </c:pt>
                <c:pt idx="42">
                  <c:v>2.77</c:v>
                </c:pt>
                <c:pt idx="43">
                  <c:v>2.76</c:v>
                </c:pt>
                <c:pt idx="44">
                  <c:v>2.77</c:v>
                </c:pt>
                <c:pt idx="45">
                  <c:v>2.77</c:v>
                </c:pt>
                <c:pt idx="46">
                  <c:v>2.78</c:v>
                </c:pt>
                <c:pt idx="47">
                  <c:v>2.79</c:v>
                </c:pt>
                <c:pt idx="48">
                  <c:v>2.81</c:v>
                </c:pt>
                <c:pt idx="49">
                  <c:v>2.83</c:v>
                </c:pt>
                <c:pt idx="50">
                  <c:v>2.85</c:v>
                </c:pt>
                <c:pt idx="51">
                  <c:v>2.9</c:v>
                </c:pt>
                <c:pt idx="52">
                  <c:v>2.92</c:v>
                </c:pt>
                <c:pt idx="53">
                  <c:v>2.99</c:v>
                </c:pt>
                <c:pt idx="54">
                  <c:v>3.01</c:v>
                </c:pt>
                <c:pt idx="55">
                  <c:v>3.06</c:v>
                </c:pt>
                <c:pt idx="56">
                  <c:v>3.12</c:v>
                </c:pt>
                <c:pt idx="57">
                  <c:v>3.16</c:v>
                </c:pt>
                <c:pt idx="58">
                  <c:v>3.24</c:v>
                </c:pt>
                <c:pt idx="59">
                  <c:v>3.31</c:v>
                </c:pt>
                <c:pt idx="60">
                  <c:v>3.36</c:v>
                </c:pt>
                <c:pt idx="61">
                  <c:v>3.45</c:v>
                </c:pt>
                <c:pt idx="62">
                  <c:v>3.51</c:v>
                </c:pt>
                <c:pt idx="63">
                  <c:v>3.59</c:v>
                </c:pt>
                <c:pt idx="64">
                  <c:v>3.67</c:v>
                </c:pt>
                <c:pt idx="65">
                  <c:v>3.72</c:v>
                </c:pt>
                <c:pt idx="66">
                  <c:v>3.8</c:v>
                </c:pt>
                <c:pt idx="67">
                  <c:v>3.85</c:v>
                </c:pt>
                <c:pt idx="68">
                  <c:v>3.94</c:v>
                </c:pt>
                <c:pt idx="69">
                  <c:v>3.99</c:v>
                </c:pt>
                <c:pt idx="70">
                  <c:v>4.05</c:v>
                </c:pt>
                <c:pt idx="71">
                  <c:v>4.0999999999999996</c:v>
                </c:pt>
                <c:pt idx="72">
                  <c:v>4.16</c:v>
                </c:pt>
                <c:pt idx="73">
                  <c:v>4.2300000000000004</c:v>
                </c:pt>
                <c:pt idx="74">
                  <c:v>4.28</c:v>
                </c:pt>
                <c:pt idx="75">
                  <c:v>4.3099999999999996</c:v>
                </c:pt>
                <c:pt idx="76">
                  <c:v>4.38</c:v>
                </c:pt>
                <c:pt idx="77">
                  <c:v>4.43</c:v>
                </c:pt>
                <c:pt idx="78">
                  <c:v>4.47</c:v>
                </c:pt>
                <c:pt idx="79">
                  <c:v>4.51</c:v>
                </c:pt>
                <c:pt idx="80">
                  <c:v>4.54</c:v>
                </c:pt>
                <c:pt idx="81">
                  <c:v>4.59</c:v>
                </c:pt>
                <c:pt idx="82">
                  <c:v>4.5999999999999996</c:v>
                </c:pt>
                <c:pt idx="83">
                  <c:v>4.66</c:v>
                </c:pt>
                <c:pt idx="84">
                  <c:v>4.68</c:v>
                </c:pt>
                <c:pt idx="85">
                  <c:v>4.6900000000000004</c:v>
                </c:pt>
                <c:pt idx="86">
                  <c:v>4.71</c:v>
                </c:pt>
                <c:pt idx="87">
                  <c:v>4.72</c:v>
                </c:pt>
                <c:pt idx="88">
                  <c:v>4.7300000000000004</c:v>
                </c:pt>
                <c:pt idx="89">
                  <c:v>4.74</c:v>
                </c:pt>
                <c:pt idx="90">
                  <c:v>4.72</c:v>
                </c:pt>
                <c:pt idx="91">
                  <c:v>4.7300000000000004</c:v>
                </c:pt>
                <c:pt idx="92">
                  <c:v>4.74</c:v>
                </c:pt>
                <c:pt idx="93">
                  <c:v>4.72</c:v>
                </c:pt>
                <c:pt idx="94">
                  <c:v>4.72</c:v>
                </c:pt>
                <c:pt idx="95">
                  <c:v>4.7</c:v>
                </c:pt>
                <c:pt idx="96">
                  <c:v>4.6500000000000004</c:v>
                </c:pt>
                <c:pt idx="97">
                  <c:v>4.62</c:v>
                </c:pt>
                <c:pt idx="98">
                  <c:v>4.58</c:v>
                </c:pt>
                <c:pt idx="99">
                  <c:v>4.57</c:v>
                </c:pt>
                <c:pt idx="100">
                  <c:v>4.51</c:v>
                </c:pt>
                <c:pt idx="101">
                  <c:v>4.46</c:v>
                </c:pt>
                <c:pt idx="102">
                  <c:v>4.4400000000000004</c:v>
                </c:pt>
                <c:pt idx="103">
                  <c:v>4.38</c:v>
                </c:pt>
                <c:pt idx="104">
                  <c:v>4.34</c:v>
                </c:pt>
                <c:pt idx="105">
                  <c:v>4.26</c:v>
                </c:pt>
                <c:pt idx="106">
                  <c:v>4.2</c:v>
                </c:pt>
                <c:pt idx="107">
                  <c:v>4.12</c:v>
                </c:pt>
                <c:pt idx="108">
                  <c:v>4.08</c:v>
                </c:pt>
                <c:pt idx="109">
                  <c:v>4</c:v>
                </c:pt>
                <c:pt idx="110">
                  <c:v>3.92</c:v>
                </c:pt>
                <c:pt idx="111">
                  <c:v>3.86</c:v>
                </c:pt>
                <c:pt idx="112">
                  <c:v>3.8</c:v>
                </c:pt>
                <c:pt idx="113">
                  <c:v>3.73</c:v>
                </c:pt>
                <c:pt idx="114">
                  <c:v>3.67</c:v>
                </c:pt>
                <c:pt idx="115">
                  <c:v>3.58</c:v>
                </c:pt>
                <c:pt idx="116">
                  <c:v>3.53</c:v>
                </c:pt>
                <c:pt idx="117">
                  <c:v>3.48</c:v>
                </c:pt>
                <c:pt idx="118">
                  <c:v>3.38</c:v>
                </c:pt>
                <c:pt idx="119">
                  <c:v>3.33</c:v>
                </c:pt>
                <c:pt idx="120">
                  <c:v>3.26</c:v>
                </c:pt>
                <c:pt idx="121">
                  <c:v>3.18</c:v>
                </c:pt>
                <c:pt idx="122">
                  <c:v>3.15</c:v>
                </c:pt>
                <c:pt idx="123">
                  <c:v>3.06</c:v>
                </c:pt>
                <c:pt idx="124">
                  <c:v>3.03</c:v>
                </c:pt>
                <c:pt idx="125">
                  <c:v>2.98</c:v>
                </c:pt>
                <c:pt idx="126">
                  <c:v>2.92</c:v>
                </c:pt>
                <c:pt idx="127">
                  <c:v>2.88</c:v>
                </c:pt>
                <c:pt idx="128">
                  <c:v>2.85</c:v>
                </c:pt>
                <c:pt idx="129">
                  <c:v>2.82</c:v>
                </c:pt>
                <c:pt idx="130">
                  <c:v>2.79</c:v>
                </c:pt>
                <c:pt idx="131">
                  <c:v>2.79</c:v>
                </c:pt>
                <c:pt idx="132">
                  <c:v>2.77</c:v>
                </c:pt>
                <c:pt idx="133">
                  <c:v>2.75</c:v>
                </c:pt>
                <c:pt idx="134">
                  <c:v>2.75</c:v>
                </c:pt>
                <c:pt idx="135">
                  <c:v>2.76</c:v>
                </c:pt>
                <c:pt idx="136">
                  <c:v>2.77</c:v>
                </c:pt>
                <c:pt idx="137">
                  <c:v>2.79</c:v>
                </c:pt>
                <c:pt idx="138">
                  <c:v>2.81</c:v>
                </c:pt>
                <c:pt idx="139">
                  <c:v>2.86</c:v>
                </c:pt>
                <c:pt idx="140">
                  <c:v>2.87</c:v>
                </c:pt>
                <c:pt idx="141">
                  <c:v>2.88</c:v>
                </c:pt>
                <c:pt idx="142">
                  <c:v>2.94</c:v>
                </c:pt>
                <c:pt idx="143">
                  <c:v>2.98</c:v>
                </c:pt>
                <c:pt idx="144">
                  <c:v>3.01</c:v>
                </c:pt>
                <c:pt idx="145">
                  <c:v>3.06</c:v>
                </c:pt>
                <c:pt idx="146">
                  <c:v>3.13</c:v>
                </c:pt>
                <c:pt idx="147">
                  <c:v>3.18</c:v>
                </c:pt>
                <c:pt idx="148">
                  <c:v>3.24</c:v>
                </c:pt>
                <c:pt idx="149">
                  <c:v>3.31</c:v>
                </c:pt>
                <c:pt idx="150">
                  <c:v>3.35</c:v>
                </c:pt>
                <c:pt idx="151">
                  <c:v>3.42</c:v>
                </c:pt>
                <c:pt idx="152">
                  <c:v>3.49</c:v>
                </c:pt>
                <c:pt idx="153">
                  <c:v>3.57</c:v>
                </c:pt>
                <c:pt idx="154">
                  <c:v>3.62</c:v>
                </c:pt>
                <c:pt idx="155">
                  <c:v>3.69</c:v>
                </c:pt>
                <c:pt idx="156">
                  <c:v>3.78</c:v>
                </c:pt>
                <c:pt idx="157">
                  <c:v>3.82</c:v>
                </c:pt>
                <c:pt idx="158">
                  <c:v>3.88</c:v>
                </c:pt>
                <c:pt idx="159">
                  <c:v>3.95</c:v>
                </c:pt>
                <c:pt idx="160">
                  <c:v>3.99</c:v>
                </c:pt>
                <c:pt idx="161">
                  <c:v>4.0599999999999996</c:v>
                </c:pt>
                <c:pt idx="162">
                  <c:v>4.12</c:v>
                </c:pt>
                <c:pt idx="163">
                  <c:v>4.21</c:v>
                </c:pt>
                <c:pt idx="164">
                  <c:v>4.26</c:v>
                </c:pt>
                <c:pt idx="165">
                  <c:v>4.32</c:v>
                </c:pt>
                <c:pt idx="166">
                  <c:v>4.3600000000000003</c:v>
                </c:pt>
                <c:pt idx="167">
                  <c:v>4.41</c:v>
                </c:pt>
                <c:pt idx="168">
                  <c:v>4.47</c:v>
                </c:pt>
                <c:pt idx="169">
                  <c:v>4.49</c:v>
                </c:pt>
                <c:pt idx="170">
                  <c:v>4.53</c:v>
                </c:pt>
                <c:pt idx="171">
                  <c:v>4.58</c:v>
                </c:pt>
                <c:pt idx="172">
                  <c:v>4.6100000000000003</c:v>
                </c:pt>
                <c:pt idx="173">
                  <c:v>4.62</c:v>
                </c:pt>
                <c:pt idx="174">
                  <c:v>4.6500000000000004</c:v>
                </c:pt>
                <c:pt idx="175">
                  <c:v>4.66</c:v>
                </c:pt>
                <c:pt idx="176">
                  <c:v>4.7</c:v>
                </c:pt>
                <c:pt idx="177">
                  <c:v>4.7</c:v>
                </c:pt>
                <c:pt idx="178">
                  <c:v>4.72</c:v>
                </c:pt>
                <c:pt idx="179">
                  <c:v>4.74</c:v>
                </c:pt>
                <c:pt idx="180">
                  <c:v>4.72</c:v>
                </c:pt>
                <c:pt idx="181">
                  <c:v>4.72</c:v>
                </c:pt>
                <c:pt idx="182">
                  <c:v>4.72</c:v>
                </c:pt>
                <c:pt idx="183">
                  <c:v>4.71</c:v>
                </c:pt>
                <c:pt idx="184">
                  <c:v>4.6900000000000004</c:v>
                </c:pt>
                <c:pt idx="185">
                  <c:v>4.68</c:v>
                </c:pt>
                <c:pt idx="186">
                  <c:v>4.6399999999999997</c:v>
                </c:pt>
                <c:pt idx="187">
                  <c:v>4.6100000000000003</c:v>
                </c:pt>
                <c:pt idx="188">
                  <c:v>4.58</c:v>
                </c:pt>
                <c:pt idx="189">
                  <c:v>4.5599999999999996</c:v>
                </c:pt>
                <c:pt idx="190">
                  <c:v>4.5199999999999996</c:v>
                </c:pt>
                <c:pt idx="191">
                  <c:v>4.46</c:v>
                </c:pt>
                <c:pt idx="192">
                  <c:v>4.42</c:v>
                </c:pt>
                <c:pt idx="193">
                  <c:v>4.37</c:v>
                </c:pt>
                <c:pt idx="194">
                  <c:v>4.32</c:v>
                </c:pt>
                <c:pt idx="195">
                  <c:v>4.26</c:v>
                </c:pt>
                <c:pt idx="196">
                  <c:v>4.2</c:v>
                </c:pt>
                <c:pt idx="197">
                  <c:v>4.1500000000000004</c:v>
                </c:pt>
                <c:pt idx="198">
                  <c:v>4.0999999999999996</c:v>
                </c:pt>
                <c:pt idx="199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9-4779-9D6A-8B5411A7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62287"/>
        <c:axId val="254162767"/>
      </c:scatterChart>
      <c:valAx>
        <c:axId val="25416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2767"/>
        <c:crosses val="autoZero"/>
        <c:crossBetween val="midCat"/>
      </c:valAx>
      <c:valAx>
        <c:axId val="2541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5</xdr:row>
      <xdr:rowOff>133350</xdr:rowOff>
    </xdr:from>
    <xdr:to>
      <xdr:col>21</xdr:col>
      <xdr:colOff>579120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3C950-B0C2-E589-2C3D-2BDEC35D2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56F-345C-4823-9FD8-3D218735E701}">
  <dimension ref="A1:B4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f>1</f>
        <v>1</v>
      </c>
      <c r="B2" s="1">
        <v>0.02</v>
      </c>
    </row>
    <row r="3" spans="1:2" x14ac:dyDescent="0.2">
      <c r="A3" s="1" t="s">
        <v>2</v>
      </c>
    </row>
    <row r="4" spans="1:2" x14ac:dyDescent="0.2">
      <c r="A4" s="1">
        <f>A2*PI()/180</f>
        <v>1.7453292519943295E-2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1A33-A13A-4046-A547-8DE2389C519B}">
  <dimension ref="A1:F201"/>
  <sheetViews>
    <sheetView tabSelected="1" zoomScale="117" zoomScaleNormal="110" workbookViewId="0">
      <selection activeCell="F20" sqref="F20"/>
    </sheetView>
  </sheetViews>
  <sheetFormatPr baseColWidth="10" defaultColWidth="8.83203125" defaultRowHeight="15" x14ac:dyDescent="0.2"/>
  <cols>
    <col min="1" max="4" width="8.83203125" style="4"/>
    <col min="5" max="5" width="8.83203125" style="8"/>
    <col min="6" max="6" width="12.6640625" style="4" bestFit="1" customWidth="1"/>
    <col min="7" max="16384" width="8.83203125" style="5"/>
  </cols>
  <sheetData>
    <row r="1" spans="1:6" s="3" customFormat="1" x14ac:dyDescent="0.2">
      <c r="A1" s="2" t="s">
        <v>3</v>
      </c>
      <c r="B1" s="2" t="s">
        <v>4</v>
      </c>
      <c r="C1" s="2" t="s">
        <v>5</v>
      </c>
      <c r="D1" s="2" t="s">
        <v>6</v>
      </c>
      <c r="E1" s="7" t="s">
        <v>7</v>
      </c>
      <c r="F1" s="2" t="s">
        <v>8</v>
      </c>
    </row>
    <row r="2" spans="1:6" x14ac:dyDescent="0.2">
      <c r="A2" s="4">
        <f>0</f>
        <v>0</v>
      </c>
      <c r="B2" s="4">
        <f>A2*PI()/180</f>
        <v>0</v>
      </c>
      <c r="C2" s="4">
        <v>4.82</v>
      </c>
      <c r="D2" s="4">
        <f>Parametri!$A$4/SQRT(3)</f>
        <v>1.0076663134634544E-2</v>
      </c>
      <c r="E2" s="8">
        <f>Parametri!$B$2/SQRT(3)</f>
        <v>1.1547005383792516E-2</v>
      </c>
    </row>
    <row r="3" spans="1:6" x14ac:dyDescent="0.2">
      <c r="A3" s="4">
        <f>A2+2</f>
        <v>2</v>
      </c>
      <c r="B3" s="4">
        <f t="shared" ref="B3:B66" si="0">A3*PI()/180</f>
        <v>3.4906585039886591E-2</v>
      </c>
      <c r="C3" s="4">
        <v>4.8</v>
      </c>
      <c r="D3" s="4">
        <f>Parametri!$A$4/SQRT(3)</f>
        <v>1.0076663134634544E-2</v>
      </c>
      <c r="E3" s="8">
        <f>Parametri!$B$2/SQRT(3)</f>
        <v>1.1547005383792516E-2</v>
      </c>
    </row>
    <row r="4" spans="1:6" x14ac:dyDescent="0.2">
      <c r="A4" s="4">
        <f t="shared" ref="A4:A67" si="1">A3+2</f>
        <v>4</v>
      </c>
      <c r="B4" s="4">
        <f t="shared" si="0"/>
        <v>6.9813170079773182E-2</v>
      </c>
      <c r="C4" s="4">
        <v>4.7699999999999996</v>
      </c>
      <c r="D4" s="4">
        <f>Parametri!$A$4/SQRT(3)</f>
        <v>1.0076663134634544E-2</v>
      </c>
      <c r="E4" s="8">
        <f>Parametri!$B$2/SQRT(3)</f>
        <v>1.1547005383792516E-2</v>
      </c>
    </row>
    <row r="5" spans="1:6" x14ac:dyDescent="0.2">
      <c r="A5" s="4">
        <f t="shared" si="1"/>
        <v>6</v>
      </c>
      <c r="B5" s="4">
        <f t="shared" si="0"/>
        <v>0.10471975511965977</v>
      </c>
      <c r="C5" s="4">
        <v>4.78</v>
      </c>
      <c r="D5" s="4">
        <f>Parametri!$A$4/SQRT(3)</f>
        <v>1.0076663134634544E-2</v>
      </c>
      <c r="E5" s="8">
        <f>Parametri!$B$2/SQRT(3)</f>
        <v>1.1547005383792516E-2</v>
      </c>
    </row>
    <row r="6" spans="1:6" x14ac:dyDescent="0.2">
      <c r="A6" s="4">
        <f t="shared" si="1"/>
        <v>8</v>
      </c>
      <c r="B6" s="4">
        <f t="shared" si="0"/>
        <v>0.13962634015954636</v>
      </c>
      <c r="C6" s="4">
        <v>4.74</v>
      </c>
      <c r="D6" s="4">
        <f>Parametri!$A$4/SQRT(3)</f>
        <v>1.0076663134634544E-2</v>
      </c>
      <c r="E6" s="8">
        <f>Parametri!$B$2/SQRT(3)</f>
        <v>1.1547005383792516E-2</v>
      </c>
    </row>
    <row r="7" spans="1:6" x14ac:dyDescent="0.2">
      <c r="A7" s="4">
        <f t="shared" si="1"/>
        <v>10</v>
      </c>
      <c r="B7" s="4">
        <f t="shared" si="0"/>
        <v>0.17453292519943295</v>
      </c>
      <c r="C7" s="4">
        <v>4.71</v>
      </c>
      <c r="D7" s="4">
        <f>Parametri!$A$4/SQRT(3)</f>
        <v>1.0076663134634544E-2</v>
      </c>
      <c r="E7" s="8">
        <f>Parametri!$B$2/SQRT(3)</f>
        <v>1.1547005383792516E-2</v>
      </c>
    </row>
    <row r="8" spans="1:6" x14ac:dyDescent="0.2">
      <c r="A8" s="4">
        <f t="shared" si="1"/>
        <v>12</v>
      </c>
      <c r="B8" s="4">
        <f t="shared" si="0"/>
        <v>0.20943951023931953</v>
      </c>
      <c r="C8" s="4">
        <v>4.68</v>
      </c>
      <c r="D8" s="4">
        <f>Parametri!$A$4/SQRT(3)</f>
        <v>1.0076663134634544E-2</v>
      </c>
      <c r="E8" s="8">
        <f>Parametri!$B$2/SQRT(3)</f>
        <v>1.1547005383792516E-2</v>
      </c>
    </row>
    <row r="9" spans="1:6" x14ac:dyDescent="0.2">
      <c r="A9" s="4">
        <f t="shared" si="1"/>
        <v>14</v>
      </c>
      <c r="B9" s="4">
        <f t="shared" si="0"/>
        <v>0.24434609527920614</v>
      </c>
      <c r="C9" s="4">
        <v>4.66</v>
      </c>
      <c r="D9" s="4">
        <f>Parametri!$A$4/SQRT(3)</f>
        <v>1.0076663134634544E-2</v>
      </c>
      <c r="E9" s="8">
        <f>Parametri!$B$2/SQRT(3)</f>
        <v>1.1547005383792516E-2</v>
      </c>
    </row>
    <row r="10" spans="1:6" x14ac:dyDescent="0.2">
      <c r="A10" s="4">
        <f t="shared" si="1"/>
        <v>16</v>
      </c>
      <c r="B10" s="4">
        <f t="shared" si="0"/>
        <v>0.27925268031909273</v>
      </c>
      <c r="C10" s="4">
        <v>4.62</v>
      </c>
      <c r="D10" s="4">
        <f>Parametri!$A$4/SQRT(3)</f>
        <v>1.0076663134634544E-2</v>
      </c>
      <c r="E10" s="8">
        <f>Parametri!$B$2/SQRT(3)</f>
        <v>1.1547005383792516E-2</v>
      </c>
    </row>
    <row r="11" spans="1:6" x14ac:dyDescent="0.2">
      <c r="A11" s="4">
        <f t="shared" si="1"/>
        <v>18</v>
      </c>
      <c r="B11" s="4">
        <f t="shared" si="0"/>
        <v>0.31415926535897931</v>
      </c>
      <c r="C11" s="4">
        <v>4.59</v>
      </c>
      <c r="D11" s="4">
        <f>Parametri!$A$4/SQRT(3)</f>
        <v>1.0076663134634544E-2</v>
      </c>
      <c r="E11" s="8">
        <f>Parametri!$B$2/SQRT(3)</f>
        <v>1.1547005383792516E-2</v>
      </c>
    </row>
    <row r="12" spans="1:6" x14ac:dyDescent="0.2">
      <c r="A12" s="4">
        <f t="shared" si="1"/>
        <v>20</v>
      </c>
      <c r="B12" s="4">
        <f t="shared" si="0"/>
        <v>0.3490658503988659</v>
      </c>
      <c r="C12" s="4">
        <v>4.5599999999999996</v>
      </c>
      <c r="D12" s="4">
        <f>Parametri!$A$4/SQRT(3)</f>
        <v>1.0076663134634544E-2</v>
      </c>
      <c r="E12" s="8">
        <f>Parametri!$B$2/SQRT(3)</f>
        <v>1.1547005383792516E-2</v>
      </c>
    </row>
    <row r="13" spans="1:6" x14ac:dyDescent="0.2">
      <c r="A13" s="4">
        <f t="shared" si="1"/>
        <v>22</v>
      </c>
      <c r="B13" s="4">
        <f t="shared" si="0"/>
        <v>0.38397243543875248</v>
      </c>
      <c r="C13" s="4">
        <v>4.51</v>
      </c>
      <c r="D13" s="4">
        <f>Parametri!$A$4/SQRT(3)</f>
        <v>1.0076663134634544E-2</v>
      </c>
      <c r="E13" s="8">
        <f>Parametri!$B$2/SQRT(3)</f>
        <v>1.1547005383792516E-2</v>
      </c>
    </row>
    <row r="14" spans="1:6" x14ac:dyDescent="0.2">
      <c r="A14" s="4">
        <f t="shared" si="1"/>
        <v>24</v>
      </c>
      <c r="B14" s="4">
        <f t="shared" si="0"/>
        <v>0.41887902047863906</v>
      </c>
      <c r="C14" s="4">
        <v>4.46</v>
      </c>
      <c r="D14" s="4">
        <f>Parametri!$A$4/SQRT(3)</f>
        <v>1.0076663134634544E-2</v>
      </c>
      <c r="E14" s="8">
        <f>Parametri!$B$2/SQRT(3)</f>
        <v>1.1547005383792516E-2</v>
      </c>
    </row>
    <row r="15" spans="1:6" x14ac:dyDescent="0.2">
      <c r="A15" s="4">
        <f t="shared" si="1"/>
        <v>26</v>
      </c>
      <c r="B15" s="4">
        <f t="shared" si="0"/>
        <v>0.4537856055185257</v>
      </c>
      <c r="C15" s="4">
        <v>4.4000000000000004</v>
      </c>
      <c r="D15" s="4">
        <f>Parametri!$A$4/SQRT(3)</f>
        <v>1.0076663134634544E-2</v>
      </c>
      <c r="E15" s="8">
        <f>Parametri!$B$2/SQRT(3)</f>
        <v>1.1547005383792516E-2</v>
      </c>
    </row>
    <row r="16" spans="1:6" x14ac:dyDescent="0.2">
      <c r="A16" s="4">
        <f t="shared" si="1"/>
        <v>28</v>
      </c>
      <c r="B16" s="4">
        <f t="shared" si="0"/>
        <v>0.48869219055841229</v>
      </c>
      <c r="C16" s="4">
        <v>4.37</v>
      </c>
      <c r="D16" s="4">
        <f>Parametri!$A$4/SQRT(3)</f>
        <v>1.0076663134634544E-2</v>
      </c>
      <c r="E16" s="8">
        <f>Parametri!$B$2/SQRT(3)</f>
        <v>1.1547005383792516E-2</v>
      </c>
    </row>
    <row r="17" spans="1:5" x14ac:dyDescent="0.2">
      <c r="A17" s="4">
        <f t="shared" si="1"/>
        <v>30</v>
      </c>
      <c r="B17" s="4">
        <f t="shared" si="0"/>
        <v>0.52359877559829882</v>
      </c>
      <c r="C17" s="4">
        <v>4.32</v>
      </c>
      <c r="D17" s="4">
        <f>Parametri!$A$4/SQRT(3)</f>
        <v>1.0076663134634544E-2</v>
      </c>
      <c r="E17" s="8">
        <f>Parametri!$B$2/SQRT(3)</f>
        <v>1.1547005383792516E-2</v>
      </c>
    </row>
    <row r="18" spans="1:5" x14ac:dyDescent="0.2">
      <c r="A18" s="4">
        <f t="shared" si="1"/>
        <v>32</v>
      </c>
      <c r="B18" s="4">
        <f t="shared" si="0"/>
        <v>0.55850536063818546</v>
      </c>
      <c r="C18" s="4">
        <v>4.2300000000000004</v>
      </c>
      <c r="D18" s="4">
        <f>Parametri!$A$4/SQRT(3)</f>
        <v>1.0076663134634544E-2</v>
      </c>
      <c r="E18" s="8">
        <f>Parametri!$B$2/SQRT(3)</f>
        <v>1.1547005383792516E-2</v>
      </c>
    </row>
    <row r="19" spans="1:5" x14ac:dyDescent="0.2">
      <c r="A19" s="4">
        <f t="shared" si="1"/>
        <v>34</v>
      </c>
      <c r="B19" s="4">
        <f t="shared" si="0"/>
        <v>0.59341194567807209</v>
      </c>
      <c r="C19" s="4">
        <v>4.18</v>
      </c>
      <c r="D19" s="4">
        <f>Parametri!$A$4/SQRT(3)</f>
        <v>1.0076663134634544E-2</v>
      </c>
      <c r="E19" s="8">
        <f>Parametri!$B$2/SQRT(3)</f>
        <v>1.1547005383792516E-2</v>
      </c>
    </row>
    <row r="20" spans="1:5" x14ac:dyDescent="0.2">
      <c r="A20" s="4">
        <f t="shared" si="1"/>
        <v>36</v>
      </c>
      <c r="B20" s="4">
        <f t="shared" si="0"/>
        <v>0.62831853071795862</v>
      </c>
      <c r="C20" s="4">
        <v>4.0999999999999996</v>
      </c>
      <c r="D20" s="4">
        <f>Parametri!$A$4/SQRT(3)</f>
        <v>1.0076663134634544E-2</v>
      </c>
      <c r="E20" s="8">
        <f>Parametri!$B$2/SQRT(3)</f>
        <v>1.1547005383792516E-2</v>
      </c>
    </row>
    <row r="21" spans="1:5" x14ac:dyDescent="0.2">
      <c r="A21" s="4">
        <f t="shared" si="1"/>
        <v>38</v>
      </c>
      <c r="B21" s="4">
        <f t="shared" si="0"/>
        <v>0.66322511575784515</v>
      </c>
      <c r="C21" s="4">
        <v>4.01</v>
      </c>
      <c r="D21" s="4">
        <f>Parametri!$A$4/SQRT(3)</f>
        <v>1.0076663134634544E-2</v>
      </c>
      <c r="E21" s="8">
        <f>Parametri!$B$2/SQRT(3)</f>
        <v>1.1547005383792516E-2</v>
      </c>
    </row>
    <row r="22" spans="1:5" x14ac:dyDescent="0.2">
      <c r="A22" s="4">
        <f t="shared" si="1"/>
        <v>40</v>
      </c>
      <c r="B22" s="4">
        <f t="shared" si="0"/>
        <v>0.69813170079773179</v>
      </c>
      <c r="C22" s="4">
        <v>3.96</v>
      </c>
      <c r="D22" s="4">
        <f>Parametri!$A$4/SQRT(3)</f>
        <v>1.0076663134634544E-2</v>
      </c>
      <c r="E22" s="8">
        <f>Parametri!$B$2/SQRT(3)</f>
        <v>1.1547005383792516E-2</v>
      </c>
    </row>
    <row r="23" spans="1:5" x14ac:dyDescent="0.2">
      <c r="A23" s="4">
        <f t="shared" si="1"/>
        <v>42</v>
      </c>
      <c r="B23" s="4">
        <f t="shared" si="0"/>
        <v>0.73303828583761843</v>
      </c>
      <c r="C23" s="4">
        <v>3.88</v>
      </c>
      <c r="D23" s="4">
        <f>Parametri!$A$4/SQRT(3)</f>
        <v>1.0076663134634544E-2</v>
      </c>
      <c r="E23" s="8">
        <f>Parametri!$B$2/SQRT(3)</f>
        <v>1.1547005383792516E-2</v>
      </c>
    </row>
    <row r="24" spans="1:5" x14ac:dyDescent="0.2">
      <c r="A24" s="4">
        <f t="shared" si="1"/>
        <v>44</v>
      </c>
      <c r="B24" s="4">
        <f t="shared" si="0"/>
        <v>0.76794487087750496</v>
      </c>
      <c r="C24" s="4">
        <v>3.81</v>
      </c>
      <c r="D24" s="4">
        <f>Parametri!$A$4/SQRT(3)</f>
        <v>1.0076663134634544E-2</v>
      </c>
      <c r="E24" s="8">
        <f>Parametri!$B$2/SQRT(3)</f>
        <v>1.1547005383792516E-2</v>
      </c>
    </row>
    <row r="25" spans="1:5" x14ac:dyDescent="0.2">
      <c r="A25" s="4">
        <f t="shared" si="1"/>
        <v>46</v>
      </c>
      <c r="B25" s="4">
        <f t="shared" si="0"/>
        <v>0.80285145591739149</v>
      </c>
      <c r="C25" s="4">
        <v>3.74</v>
      </c>
      <c r="D25" s="4">
        <f>Parametri!$A$4/SQRT(3)</f>
        <v>1.0076663134634544E-2</v>
      </c>
      <c r="E25" s="8">
        <f>Parametri!$B$2/SQRT(3)</f>
        <v>1.1547005383792516E-2</v>
      </c>
    </row>
    <row r="26" spans="1:5" x14ac:dyDescent="0.2">
      <c r="A26" s="4">
        <f t="shared" si="1"/>
        <v>48</v>
      </c>
      <c r="B26" s="4">
        <f t="shared" si="0"/>
        <v>0.83775804095727813</v>
      </c>
      <c r="C26" s="4">
        <v>3.68</v>
      </c>
      <c r="D26" s="4">
        <f>Parametri!$A$4/SQRT(3)</f>
        <v>1.0076663134634544E-2</v>
      </c>
      <c r="E26" s="8">
        <f>Parametri!$B$2/SQRT(3)</f>
        <v>1.1547005383792516E-2</v>
      </c>
    </row>
    <row r="27" spans="1:5" x14ac:dyDescent="0.2">
      <c r="A27" s="4">
        <f t="shared" si="1"/>
        <v>50</v>
      </c>
      <c r="B27" s="4">
        <f t="shared" si="0"/>
        <v>0.87266462599716477</v>
      </c>
      <c r="C27" s="4">
        <v>3.6</v>
      </c>
      <c r="D27" s="4">
        <f>Parametri!$A$4/SQRT(3)</f>
        <v>1.0076663134634544E-2</v>
      </c>
      <c r="E27" s="8">
        <f>Parametri!$B$2/SQRT(3)</f>
        <v>1.1547005383792516E-2</v>
      </c>
    </row>
    <row r="28" spans="1:5" x14ac:dyDescent="0.2">
      <c r="A28" s="4">
        <f t="shared" si="1"/>
        <v>52</v>
      </c>
      <c r="B28" s="4">
        <f t="shared" si="0"/>
        <v>0.90757121103705141</v>
      </c>
      <c r="C28" s="4">
        <v>3.54</v>
      </c>
      <c r="D28" s="4">
        <f>Parametri!$A$4/SQRT(3)</f>
        <v>1.0076663134634544E-2</v>
      </c>
      <c r="E28" s="8">
        <f>Parametri!$B$2/SQRT(3)</f>
        <v>1.1547005383792516E-2</v>
      </c>
    </row>
    <row r="29" spans="1:5" x14ac:dyDescent="0.2">
      <c r="A29" s="4">
        <f t="shared" si="1"/>
        <v>54</v>
      </c>
      <c r="B29" s="4">
        <f t="shared" si="0"/>
        <v>0.94247779607693793</v>
      </c>
      <c r="C29" s="4">
        <v>3.47</v>
      </c>
      <c r="D29" s="4">
        <f>Parametri!$A$4/SQRT(3)</f>
        <v>1.0076663134634544E-2</v>
      </c>
      <c r="E29" s="8">
        <f>Parametri!$B$2/SQRT(3)</f>
        <v>1.1547005383792516E-2</v>
      </c>
    </row>
    <row r="30" spans="1:5" x14ac:dyDescent="0.2">
      <c r="A30" s="4">
        <f t="shared" si="1"/>
        <v>56</v>
      </c>
      <c r="B30" s="4">
        <f t="shared" si="0"/>
        <v>0.97738438111682457</v>
      </c>
      <c r="C30" s="4">
        <v>3.41</v>
      </c>
      <c r="D30" s="4">
        <f>Parametri!$A$4/SQRT(3)</f>
        <v>1.0076663134634544E-2</v>
      </c>
      <c r="E30" s="8">
        <f>Parametri!$B$2/SQRT(3)</f>
        <v>1.1547005383792516E-2</v>
      </c>
    </row>
    <row r="31" spans="1:5" x14ac:dyDescent="0.2">
      <c r="A31" s="4">
        <f t="shared" si="1"/>
        <v>58</v>
      </c>
      <c r="B31" s="4">
        <f t="shared" si="0"/>
        <v>1.0122909661567112</v>
      </c>
      <c r="C31" s="4">
        <v>3.37</v>
      </c>
      <c r="D31" s="4">
        <f>Parametri!$A$4/SQRT(3)</f>
        <v>1.0076663134634544E-2</v>
      </c>
      <c r="E31" s="8">
        <f>Parametri!$B$2/SQRT(3)</f>
        <v>1.1547005383792516E-2</v>
      </c>
    </row>
    <row r="32" spans="1:5" x14ac:dyDescent="0.2">
      <c r="A32" s="4">
        <f t="shared" si="1"/>
        <v>60</v>
      </c>
      <c r="B32" s="4">
        <f t="shared" si="0"/>
        <v>1.0471975511965976</v>
      </c>
      <c r="C32" s="4">
        <v>3.29</v>
      </c>
      <c r="D32" s="4">
        <f>Parametri!$A$4/SQRT(3)</f>
        <v>1.0076663134634544E-2</v>
      </c>
      <c r="E32" s="8">
        <f>Parametri!$B$2/SQRT(3)</f>
        <v>1.1547005383792516E-2</v>
      </c>
    </row>
    <row r="33" spans="1:5" x14ac:dyDescent="0.2">
      <c r="A33" s="4">
        <f t="shared" si="1"/>
        <v>62</v>
      </c>
      <c r="B33" s="4">
        <f t="shared" si="0"/>
        <v>1.0821041362364843</v>
      </c>
      <c r="C33" s="4">
        <v>3.22</v>
      </c>
      <c r="D33" s="4">
        <f>Parametri!$A$4/SQRT(3)</f>
        <v>1.0076663134634544E-2</v>
      </c>
      <c r="E33" s="8">
        <f>Parametri!$B$2/SQRT(3)</f>
        <v>1.1547005383792516E-2</v>
      </c>
    </row>
    <row r="34" spans="1:5" x14ac:dyDescent="0.2">
      <c r="A34" s="4">
        <f t="shared" si="1"/>
        <v>64</v>
      </c>
      <c r="B34" s="4">
        <f t="shared" si="0"/>
        <v>1.1170107212763709</v>
      </c>
      <c r="C34" s="4">
        <v>3.16</v>
      </c>
      <c r="D34" s="4">
        <f>Parametri!$A$4/SQRT(3)</f>
        <v>1.0076663134634544E-2</v>
      </c>
      <c r="E34" s="8">
        <f>Parametri!$B$2/SQRT(3)</f>
        <v>1.1547005383792516E-2</v>
      </c>
    </row>
    <row r="35" spans="1:5" x14ac:dyDescent="0.2">
      <c r="A35" s="4">
        <f t="shared" si="1"/>
        <v>66</v>
      </c>
      <c r="B35" s="4">
        <f t="shared" si="0"/>
        <v>1.1519173063162575</v>
      </c>
      <c r="C35" s="4">
        <v>3.1</v>
      </c>
      <c r="D35" s="4">
        <f>Parametri!$A$4/SQRT(3)</f>
        <v>1.0076663134634544E-2</v>
      </c>
      <c r="E35" s="8">
        <f>Parametri!$B$2/SQRT(3)</f>
        <v>1.1547005383792516E-2</v>
      </c>
    </row>
    <row r="36" spans="1:5" x14ac:dyDescent="0.2">
      <c r="A36" s="4">
        <f t="shared" si="1"/>
        <v>68</v>
      </c>
      <c r="B36" s="4">
        <f t="shared" si="0"/>
        <v>1.1868238913561442</v>
      </c>
      <c r="C36" s="4">
        <v>3.04</v>
      </c>
      <c r="D36" s="4">
        <f>Parametri!$A$4/SQRT(3)</f>
        <v>1.0076663134634544E-2</v>
      </c>
      <c r="E36" s="8">
        <f>Parametri!$B$2/SQRT(3)</f>
        <v>1.1547005383792516E-2</v>
      </c>
    </row>
    <row r="37" spans="1:5" x14ac:dyDescent="0.2">
      <c r="A37" s="4">
        <f t="shared" si="1"/>
        <v>70</v>
      </c>
      <c r="B37" s="4">
        <f t="shared" si="0"/>
        <v>1.2217304763960306</v>
      </c>
      <c r="C37" s="4">
        <v>2.99</v>
      </c>
      <c r="D37" s="4">
        <f>Parametri!$A$4/SQRT(3)</f>
        <v>1.0076663134634544E-2</v>
      </c>
      <c r="E37" s="8">
        <f>Parametri!$B$2/SQRT(3)</f>
        <v>1.1547005383792516E-2</v>
      </c>
    </row>
    <row r="38" spans="1:5" x14ac:dyDescent="0.2">
      <c r="A38" s="4">
        <f t="shared" si="1"/>
        <v>72</v>
      </c>
      <c r="B38" s="4">
        <f t="shared" si="0"/>
        <v>1.2566370614359172</v>
      </c>
      <c r="C38" s="4">
        <v>2.95</v>
      </c>
      <c r="D38" s="4">
        <f>Parametri!$A$4/SQRT(3)</f>
        <v>1.0076663134634544E-2</v>
      </c>
      <c r="E38" s="8">
        <f>Parametri!$B$2/SQRT(3)</f>
        <v>1.1547005383792516E-2</v>
      </c>
    </row>
    <row r="39" spans="1:5" x14ac:dyDescent="0.2">
      <c r="A39" s="4">
        <f t="shared" si="1"/>
        <v>74</v>
      </c>
      <c r="B39" s="4">
        <f t="shared" si="0"/>
        <v>1.2915436464758039</v>
      </c>
      <c r="C39" s="4">
        <v>2.9</v>
      </c>
      <c r="D39" s="4">
        <f>Parametri!$A$4/SQRT(3)</f>
        <v>1.0076663134634544E-2</v>
      </c>
      <c r="E39" s="8">
        <f>Parametri!$B$2/SQRT(3)</f>
        <v>1.1547005383792516E-2</v>
      </c>
    </row>
    <row r="40" spans="1:5" x14ac:dyDescent="0.2">
      <c r="A40" s="4">
        <f t="shared" si="1"/>
        <v>76</v>
      </c>
      <c r="B40" s="4">
        <f t="shared" si="0"/>
        <v>1.3264502315156903</v>
      </c>
      <c r="C40" s="4">
        <v>2.86</v>
      </c>
      <c r="D40" s="4">
        <f>Parametri!$A$4/SQRT(3)</f>
        <v>1.0076663134634544E-2</v>
      </c>
      <c r="E40" s="8">
        <f>Parametri!$B$2/SQRT(3)</f>
        <v>1.1547005383792516E-2</v>
      </c>
    </row>
    <row r="41" spans="1:5" x14ac:dyDescent="0.2">
      <c r="A41" s="4">
        <f t="shared" si="1"/>
        <v>78</v>
      </c>
      <c r="B41" s="4">
        <f t="shared" si="0"/>
        <v>1.3613568165555769</v>
      </c>
      <c r="C41" s="4">
        <v>2.84</v>
      </c>
      <c r="D41" s="4">
        <f>Parametri!$A$4/SQRT(3)</f>
        <v>1.0076663134634544E-2</v>
      </c>
      <c r="E41" s="8">
        <f>Parametri!$B$2/SQRT(3)</f>
        <v>1.1547005383792516E-2</v>
      </c>
    </row>
    <row r="42" spans="1:5" x14ac:dyDescent="0.2">
      <c r="A42" s="4">
        <f t="shared" si="1"/>
        <v>80</v>
      </c>
      <c r="B42" s="4">
        <f t="shared" si="0"/>
        <v>1.3962634015954636</v>
      </c>
      <c r="C42" s="4">
        <v>2.8</v>
      </c>
      <c r="D42" s="4">
        <f>Parametri!$A$4/SQRT(3)</f>
        <v>1.0076663134634544E-2</v>
      </c>
      <c r="E42" s="8">
        <f>Parametri!$B$2/SQRT(3)</f>
        <v>1.1547005383792516E-2</v>
      </c>
    </row>
    <row r="43" spans="1:5" x14ac:dyDescent="0.2">
      <c r="A43" s="4">
        <f t="shared" si="1"/>
        <v>82</v>
      </c>
      <c r="B43" s="4">
        <f t="shared" si="0"/>
        <v>1.43116998663535</v>
      </c>
      <c r="C43" s="4">
        <v>2.79</v>
      </c>
      <c r="D43" s="4">
        <f>Parametri!$A$4/SQRT(3)</f>
        <v>1.0076663134634544E-2</v>
      </c>
      <c r="E43" s="8">
        <f>Parametri!$B$2/SQRT(3)</f>
        <v>1.1547005383792516E-2</v>
      </c>
    </row>
    <row r="44" spans="1:5" x14ac:dyDescent="0.2">
      <c r="A44" s="4">
        <f t="shared" si="1"/>
        <v>84</v>
      </c>
      <c r="B44" s="4">
        <f t="shared" si="0"/>
        <v>1.4660765716752369</v>
      </c>
      <c r="C44" s="4">
        <v>2.77</v>
      </c>
      <c r="D44" s="4">
        <f>Parametri!$A$4/SQRT(3)</f>
        <v>1.0076663134634544E-2</v>
      </c>
      <c r="E44" s="8">
        <f>Parametri!$B$2/SQRT(3)</f>
        <v>1.1547005383792516E-2</v>
      </c>
    </row>
    <row r="45" spans="1:5" x14ac:dyDescent="0.2">
      <c r="A45" s="4">
        <f t="shared" si="1"/>
        <v>86</v>
      </c>
      <c r="B45" s="4">
        <f t="shared" si="0"/>
        <v>1.5009831567151233</v>
      </c>
      <c r="C45" s="4">
        <v>2.76</v>
      </c>
      <c r="D45" s="4">
        <f>Parametri!$A$4/SQRT(3)</f>
        <v>1.0076663134634544E-2</v>
      </c>
      <c r="E45" s="8">
        <f>Parametri!$B$2/SQRT(3)</f>
        <v>1.1547005383792516E-2</v>
      </c>
    </row>
    <row r="46" spans="1:5" x14ac:dyDescent="0.2">
      <c r="A46" s="4">
        <f t="shared" si="1"/>
        <v>88</v>
      </c>
      <c r="B46" s="4">
        <f t="shared" si="0"/>
        <v>1.5358897417550099</v>
      </c>
      <c r="C46" s="4">
        <v>2.77</v>
      </c>
      <c r="D46" s="4">
        <f>Parametri!$A$4/SQRT(3)</f>
        <v>1.0076663134634544E-2</v>
      </c>
      <c r="E46" s="8">
        <f>Parametri!$B$2/SQRT(3)</f>
        <v>1.1547005383792516E-2</v>
      </c>
    </row>
    <row r="47" spans="1:5" x14ac:dyDescent="0.2">
      <c r="A47" s="4">
        <f t="shared" si="1"/>
        <v>90</v>
      </c>
      <c r="B47" s="4">
        <f t="shared" si="0"/>
        <v>1.5707963267948966</v>
      </c>
      <c r="C47" s="4">
        <v>2.77</v>
      </c>
      <c r="D47" s="4">
        <f>Parametri!$A$4/SQRT(3)</f>
        <v>1.0076663134634544E-2</v>
      </c>
      <c r="E47" s="8">
        <f>Parametri!$B$2/SQRT(3)</f>
        <v>1.1547005383792516E-2</v>
      </c>
    </row>
    <row r="48" spans="1:5" x14ac:dyDescent="0.2">
      <c r="A48" s="4">
        <f t="shared" si="1"/>
        <v>92</v>
      </c>
      <c r="B48" s="4">
        <f t="shared" si="0"/>
        <v>1.605702911834783</v>
      </c>
      <c r="C48" s="4">
        <v>2.78</v>
      </c>
      <c r="D48" s="4">
        <f>Parametri!$A$4/SQRT(3)</f>
        <v>1.0076663134634544E-2</v>
      </c>
      <c r="E48" s="8">
        <f>Parametri!$B$2/SQRT(3)</f>
        <v>1.1547005383792516E-2</v>
      </c>
    </row>
    <row r="49" spans="1:6" x14ac:dyDescent="0.2">
      <c r="A49" s="4">
        <f t="shared" si="1"/>
        <v>94</v>
      </c>
      <c r="B49" s="4">
        <f t="shared" si="0"/>
        <v>1.6406094968746698</v>
      </c>
      <c r="C49" s="4">
        <v>2.79</v>
      </c>
      <c r="D49" s="4">
        <f>Parametri!$A$4/SQRT(3)</f>
        <v>1.0076663134634544E-2</v>
      </c>
      <c r="E49" s="8">
        <f>Parametri!$B$2/SQRT(3)</f>
        <v>1.1547005383792516E-2</v>
      </c>
    </row>
    <row r="50" spans="1:6" x14ac:dyDescent="0.2">
      <c r="A50" s="4">
        <f t="shared" si="1"/>
        <v>96</v>
      </c>
      <c r="B50" s="4">
        <f t="shared" si="0"/>
        <v>1.6755160819145563</v>
      </c>
      <c r="C50" s="4">
        <v>2.81</v>
      </c>
      <c r="D50" s="4">
        <f>Parametri!$A$4/SQRT(3)</f>
        <v>1.0076663134634544E-2</v>
      </c>
      <c r="E50" s="8">
        <f>Parametri!$B$2/SQRT(3)</f>
        <v>1.1547005383792516E-2</v>
      </c>
    </row>
    <row r="51" spans="1:6" x14ac:dyDescent="0.2">
      <c r="A51" s="4">
        <f t="shared" si="1"/>
        <v>98</v>
      </c>
      <c r="B51" s="4">
        <f t="shared" si="0"/>
        <v>1.7104226669544429</v>
      </c>
      <c r="C51" s="4">
        <v>2.83</v>
      </c>
      <c r="D51" s="4">
        <f>Parametri!$A$4/SQRT(3)</f>
        <v>1.0076663134634544E-2</v>
      </c>
      <c r="E51" s="8">
        <f>Parametri!$B$2/SQRT(3)</f>
        <v>1.1547005383792516E-2</v>
      </c>
    </row>
    <row r="52" spans="1:6" x14ac:dyDescent="0.2">
      <c r="A52" s="4">
        <f t="shared" si="1"/>
        <v>100</v>
      </c>
      <c r="B52" s="4">
        <f t="shared" si="0"/>
        <v>1.7453292519943295</v>
      </c>
      <c r="C52" s="4">
        <v>2.85</v>
      </c>
      <c r="D52" s="4">
        <f>Parametri!$A$4/SQRT(3)</f>
        <v>1.0076663134634544E-2</v>
      </c>
      <c r="E52" s="8">
        <f>Parametri!$B$2/SQRT(3)</f>
        <v>1.1547005383792516E-2</v>
      </c>
    </row>
    <row r="53" spans="1:6" x14ac:dyDescent="0.2">
      <c r="A53" s="4">
        <f t="shared" si="1"/>
        <v>102</v>
      </c>
      <c r="B53" s="4">
        <f t="shared" si="0"/>
        <v>1.780235837034216</v>
      </c>
      <c r="C53" s="4">
        <v>2.9</v>
      </c>
      <c r="D53" s="4">
        <f>Parametri!$A$4/SQRT(3)</f>
        <v>1.0076663134634544E-2</v>
      </c>
      <c r="E53" s="8">
        <f>Parametri!$B$2/SQRT(3)</f>
        <v>1.1547005383792516E-2</v>
      </c>
    </row>
    <row r="54" spans="1:6" x14ac:dyDescent="0.2">
      <c r="A54" s="4">
        <f t="shared" si="1"/>
        <v>104</v>
      </c>
      <c r="B54" s="4">
        <f t="shared" si="0"/>
        <v>1.8151424220741028</v>
      </c>
      <c r="C54" s="4">
        <v>2.92</v>
      </c>
      <c r="D54" s="4">
        <f>Parametri!$A$4/SQRT(3)</f>
        <v>1.0076663134634544E-2</v>
      </c>
      <c r="E54" s="8">
        <f>Parametri!$B$2/SQRT(3)</f>
        <v>1.1547005383792516E-2</v>
      </c>
    </row>
    <row r="55" spans="1:6" x14ac:dyDescent="0.2">
      <c r="A55" s="4">
        <f t="shared" si="1"/>
        <v>106</v>
      </c>
      <c r="B55" s="4">
        <f t="shared" si="0"/>
        <v>1.8500490071139892</v>
      </c>
      <c r="C55" s="4">
        <v>2.99</v>
      </c>
      <c r="D55" s="4">
        <f>Parametri!$A$4/SQRT(3)</f>
        <v>1.0076663134634544E-2</v>
      </c>
      <c r="E55" s="8">
        <f>Parametri!$B$2/SQRT(3)</f>
        <v>1.1547005383792516E-2</v>
      </c>
    </row>
    <row r="56" spans="1:6" x14ac:dyDescent="0.2">
      <c r="A56" s="4">
        <f t="shared" si="1"/>
        <v>108</v>
      </c>
      <c r="B56" s="4">
        <f t="shared" si="0"/>
        <v>1.8849555921538759</v>
      </c>
      <c r="C56" s="4">
        <v>3.01</v>
      </c>
      <c r="D56" s="4">
        <f>Parametri!$A$4/SQRT(3)</f>
        <v>1.0076663134634544E-2</v>
      </c>
      <c r="E56" s="8">
        <f>Parametri!$B$2/SQRT(3)</f>
        <v>1.1547005383792516E-2</v>
      </c>
    </row>
    <row r="57" spans="1:6" x14ac:dyDescent="0.2">
      <c r="A57" s="4">
        <f t="shared" si="1"/>
        <v>110</v>
      </c>
      <c r="B57" s="4">
        <f t="shared" si="0"/>
        <v>1.9198621771937625</v>
      </c>
      <c r="C57" s="4">
        <v>3.06</v>
      </c>
      <c r="D57" s="4">
        <f>Parametri!$A$4/SQRT(3)</f>
        <v>1.0076663134634544E-2</v>
      </c>
      <c r="E57" s="8">
        <f>Parametri!$B$2/SQRT(3)</f>
        <v>1.1547005383792516E-2</v>
      </c>
    </row>
    <row r="58" spans="1:6" x14ac:dyDescent="0.2">
      <c r="A58" s="4">
        <f t="shared" si="1"/>
        <v>112</v>
      </c>
      <c r="B58" s="4">
        <f t="shared" si="0"/>
        <v>1.9547687622336491</v>
      </c>
      <c r="C58" s="4">
        <v>3.12</v>
      </c>
      <c r="D58" s="4">
        <f>Parametri!$A$4/SQRT(3)</f>
        <v>1.0076663134634544E-2</v>
      </c>
      <c r="E58" s="8">
        <f>Parametri!$B$2/SQRT(3)</f>
        <v>1.1547005383792516E-2</v>
      </c>
    </row>
    <row r="59" spans="1:6" x14ac:dyDescent="0.2">
      <c r="A59" s="4">
        <f t="shared" si="1"/>
        <v>114</v>
      </c>
      <c r="B59" s="4">
        <f t="shared" si="0"/>
        <v>1.9896753472735356</v>
      </c>
      <c r="C59" s="4">
        <v>3.16</v>
      </c>
      <c r="D59" s="4">
        <f>Parametri!$A$4/SQRT(3)</f>
        <v>1.0076663134634544E-2</v>
      </c>
      <c r="E59" s="8">
        <f>Parametri!$B$2/SQRT(3)</f>
        <v>1.1547005383792516E-2</v>
      </c>
      <c r="F59" s="6"/>
    </row>
    <row r="60" spans="1:6" x14ac:dyDescent="0.2">
      <c r="A60" s="4">
        <f t="shared" si="1"/>
        <v>116</v>
      </c>
      <c r="B60" s="4">
        <f t="shared" si="0"/>
        <v>2.0245819323134224</v>
      </c>
      <c r="C60" s="4">
        <v>3.24</v>
      </c>
      <c r="D60" s="4">
        <f>Parametri!$A$4/SQRT(3)</f>
        <v>1.0076663134634544E-2</v>
      </c>
      <c r="E60" s="8">
        <f>Parametri!$B$2/SQRT(3)</f>
        <v>1.1547005383792516E-2</v>
      </c>
    </row>
    <row r="61" spans="1:6" x14ac:dyDescent="0.2">
      <c r="A61" s="4">
        <f t="shared" si="1"/>
        <v>118</v>
      </c>
      <c r="B61" s="4">
        <f t="shared" si="0"/>
        <v>2.0594885173533086</v>
      </c>
      <c r="C61" s="4">
        <v>3.31</v>
      </c>
      <c r="D61" s="4">
        <f>Parametri!$A$4/SQRT(3)</f>
        <v>1.0076663134634544E-2</v>
      </c>
      <c r="E61" s="8">
        <f>Parametri!$B$2/SQRT(3)</f>
        <v>1.1547005383792516E-2</v>
      </c>
    </row>
    <row r="62" spans="1:6" x14ac:dyDescent="0.2">
      <c r="A62" s="4">
        <f t="shared" si="1"/>
        <v>120</v>
      </c>
      <c r="B62" s="4">
        <f t="shared" si="0"/>
        <v>2.0943951023931953</v>
      </c>
      <c r="C62" s="4">
        <v>3.36</v>
      </c>
      <c r="D62" s="4">
        <f>Parametri!$A$4/SQRT(3)</f>
        <v>1.0076663134634544E-2</v>
      </c>
      <c r="E62" s="8">
        <f>Parametri!$B$2/SQRT(3)</f>
        <v>1.1547005383792516E-2</v>
      </c>
    </row>
    <row r="63" spans="1:6" x14ac:dyDescent="0.2">
      <c r="A63" s="4">
        <f t="shared" si="1"/>
        <v>122</v>
      </c>
      <c r="B63" s="4">
        <f t="shared" si="0"/>
        <v>2.1293016874330819</v>
      </c>
      <c r="C63" s="4">
        <v>3.45</v>
      </c>
      <c r="D63" s="4">
        <f>Parametri!$A$4/SQRT(3)</f>
        <v>1.0076663134634544E-2</v>
      </c>
      <c r="E63" s="8">
        <f>Parametri!$B$2/SQRT(3)</f>
        <v>1.1547005383792516E-2</v>
      </c>
    </row>
    <row r="64" spans="1:6" x14ac:dyDescent="0.2">
      <c r="A64" s="4">
        <f t="shared" si="1"/>
        <v>124</v>
      </c>
      <c r="B64" s="4">
        <f t="shared" si="0"/>
        <v>2.1642082724729685</v>
      </c>
      <c r="C64" s="4">
        <v>3.51</v>
      </c>
      <c r="D64" s="4">
        <f>Parametri!$A$4/SQRT(3)</f>
        <v>1.0076663134634544E-2</v>
      </c>
      <c r="E64" s="8">
        <f>Parametri!$B$2/SQRT(3)</f>
        <v>1.1547005383792516E-2</v>
      </c>
    </row>
    <row r="65" spans="1:5" x14ac:dyDescent="0.2">
      <c r="A65" s="4">
        <f t="shared" si="1"/>
        <v>126</v>
      </c>
      <c r="B65" s="4">
        <f t="shared" si="0"/>
        <v>2.1991148575128552</v>
      </c>
      <c r="C65" s="4">
        <v>3.59</v>
      </c>
      <c r="D65" s="4">
        <f>Parametri!$A$4/SQRT(3)</f>
        <v>1.0076663134634544E-2</v>
      </c>
      <c r="E65" s="8">
        <f>Parametri!$B$2/SQRT(3)</f>
        <v>1.1547005383792516E-2</v>
      </c>
    </row>
    <row r="66" spans="1:5" x14ac:dyDescent="0.2">
      <c r="A66" s="4">
        <f t="shared" si="1"/>
        <v>128</v>
      </c>
      <c r="B66" s="4">
        <f t="shared" si="0"/>
        <v>2.2340214425527418</v>
      </c>
      <c r="C66" s="4">
        <v>3.67</v>
      </c>
      <c r="D66" s="4">
        <f>Parametri!$A$4/SQRT(3)</f>
        <v>1.0076663134634544E-2</v>
      </c>
      <c r="E66" s="8">
        <f>Parametri!$B$2/SQRT(3)</f>
        <v>1.1547005383792516E-2</v>
      </c>
    </row>
    <row r="67" spans="1:5" x14ac:dyDescent="0.2">
      <c r="A67" s="4">
        <f t="shared" si="1"/>
        <v>130</v>
      </c>
      <c r="B67" s="4">
        <f t="shared" ref="B67:B130" si="2">A67*PI()/180</f>
        <v>2.2689280275926285</v>
      </c>
      <c r="C67" s="4">
        <v>3.72</v>
      </c>
      <c r="D67" s="4">
        <f>Parametri!$A$4/SQRT(3)</f>
        <v>1.0076663134634544E-2</v>
      </c>
      <c r="E67" s="8">
        <f>Parametri!$B$2/SQRT(3)</f>
        <v>1.1547005383792516E-2</v>
      </c>
    </row>
    <row r="68" spans="1:5" x14ac:dyDescent="0.2">
      <c r="A68" s="4">
        <f t="shared" ref="A68:A131" si="3">A67+2</f>
        <v>132</v>
      </c>
      <c r="B68" s="4">
        <f t="shared" si="2"/>
        <v>2.3038346126325151</v>
      </c>
      <c r="C68" s="4">
        <v>3.8</v>
      </c>
      <c r="D68" s="4">
        <f>Parametri!$A$4/SQRT(3)</f>
        <v>1.0076663134634544E-2</v>
      </c>
      <c r="E68" s="8">
        <f>Parametri!$B$2/SQRT(3)</f>
        <v>1.1547005383792516E-2</v>
      </c>
    </row>
    <row r="69" spans="1:5" x14ac:dyDescent="0.2">
      <c r="A69" s="4">
        <f t="shared" si="3"/>
        <v>134</v>
      </c>
      <c r="B69" s="4">
        <f t="shared" si="2"/>
        <v>2.3387411976724013</v>
      </c>
      <c r="C69" s="4">
        <v>3.85</v>
      </c>
      <c r="D69" s="4">
        <f>Parametri!$A$4/SQRT(3)</f>
        <v>1.0076663134634544E-2</v>
      </c>
      <c r="E69" s="8">
        <f>Parametri!$B$2/SQRT(3)</f>
        <v>1.1547005383792516E-2</v>
      </c>
    </row>
    <row r="70" spans="1:5" x14ac:dyDescent="0.2">
      <c r="A70" s="4">
        <f t="shared" si="3"/>
        <v>136</v>
      </c>
      <c r="B70" s="4">
        <f t="shared" si="2"/>
        <v>2.3736477827122884</v>
      </c>
      <c r="C70" s="4">
        <v>3.94</v>
      </c>
      <c r="D70" s="4">
        <f>Parametri!$A$4/SQRT(3)</f>
        <v>1.0076663134634544E-2</v>
      </c>
      <c r="E70" s="8">
        <f>Parametri!$B$2/SQRT(3)</f>
        <v>1.1547005383792516E-2</v>
      </c>
    </row>
    <row r="71" spans="1:5" x14ac:dyDescent="0.2">
      <c r="A71" s="4">
        <f t="shared" si="3"/>
        <v>138</v>
      </c>
      <c r="B71" s="4">
        <f t="shared" si="2"/>
        <v>2.4085543677521746</v>
      </c>
      <c r="C71" s="4">
        <v>3.99</v>
      </c>
      <c r="D71" s="4">
        <f>Parametri!$A$4/SQRT(3)</f>
        <v>1.0076663134634544E-2</v>
      </c>
      <c r="E71" s="8">
        <f>Parametri!$B$2/SQRT(3)</f>
        <v>1.1547005383792516E-2</v>
      </c>
    </row>
    <row r="72" spans="1:5" x14ac:dyDescent="0.2">
      <c r="A72" s="4">
        <f t="shared" si="3"/>
        <v>140</v>
      </c>
      <c r="B72" s="4">
        <f t="shared" si="2"/>
        <v>2.4434609527920612</v>
      </c>
      <c r="C72" s="4">
        <v>4.05</v>
      </c>
      <c r="D72" s="4">
        <f>Parametri!$A$4/SQRT(3)</f>
        <v>1.0076663134634544E-2</v>
      </c>
      <c r="E72" s="8">
        <f>Parametri!$B$2/SQRT(3)</f>
        <v>1.1547005383792516E-2</v>
      </c>
    </row>
    <row r="73" spans="1:5" x14ac:dyDescent="0.2">
      <c r="A73" s="4">
        <f t="shared" si="3"/>
        <v>142</v>
      </c>
      <c r="B73" s="4">
        <f t="shared" si="2"/>
        <v>2.4783675378319479</v>
      </c>
      <c r="C73" s="4">
        <v>4.0999999999999996</v>
      </c>
      <c r="D73" s="4">
        <f>Parametri!$A$4/SQRT(3)</f>
        <v>1.0076663134634544E-2</v>
      </c>
      <c r="E73" s="8">
        <f>Parametri!$B$2/SQRT(3)</f>
        <v>1.1547005383792516E-2</v>
      </c>
    </row>
    <row r="74" spans="1:5" x14ac:dyDescent="0.2">
      <c r="A74" s="4">
        <f t="shared" si="3"/>
        <v>144</v>
      </c>
      <c r="B74" s="4">
        <f t="shared" si="2"/>
        <v>2.5132741228718345</v>
      </c>
      <c r="C74" s="4">
        <v>4.16</v>
      </c>
      <c r="D74" s="4">
        <f>Parametri!$A$4/SQRT(3)</f>
        <v>1.0076663134634544E-2</v>
      </c>
      <c r="E74" s="8">
        <f>Parametri!$B$2/SQRT(3)</f>
        <v>1.1547005383792516E-2</v>
      </c>
    </row>
    <row r="75" spans="1:5" x14ac:dyDescent="0.2">
      <c r="A75" s="4">
        <f t="shared" si="3"/>
        <v>146</v>
      </c>
      <c r="B75" s="4">
        <f t="shared" si="2"/>
        <v>2.5481807079117211</v>
      </c>
      <c r="C75" s="4">
        <v>4.2300000000000004</v>
      </c>
      <c r="D75" s="4">
        <f>Parametri!$A$4/SQRT(3)</f>
        <v>1.0076663134634544E-2</v>
      </c>
      <c r="E75" s="8">
        <f>Parametri!$B$2/SQRT(3)</f>
        <v>1.1547005383792516E-2</v>
      </c>
    </row>
    <row r="76" spans="1:5" x14ac:dyDescent="0.2">
      <c r="A76" s="4">
        <f t="shared" si="3"/>
        <v>148</v>
      </c>
      <c r="B76" s="4">
        <f t="shared" si="2"/>
        <v>2.5830872929516078</v>
      </c>
      <c r="C76" s="4">
        <v>4.28</v>
      </c>
      <c r="D76" s="4">
        <f>Parametri!$A$4/SQRT(3)</f>
        <v>1.0076663134634544E-2</v>
      </c>
      <c r="E76" s="8">
        <f>Parametri!$B$2/SQRT(3)</f>
        <v>1.1547005383792516E-2</v>
      </c>
    </row>
    <row r="77" spans="1:5" x14ac:dyDescent="0.2">
      <c r="A77" s="4">
        <f t="shared" si="3"/>
        <v>150</v>
      </c>
      <c r="B77" s="4">
        <f t="shared" si="2"/>
        <v>2.6179938779914944</v>
      </c>
      <c r="C77" s="4">
        <v>4.3099999999999996</v>
      </c>
      <c r="D77" s="4">
        <f>Parametri!$A$4/SQRT(3)</f>
        <v>1.0076663134634544E-2</v>
      </c>
      <c r="E77" s="8">
        <f>Parametri!$B$2/SQRT(3)</f>
        <v>1.1547005383792516E-2</v>
      </c>
    </row>
    <row r="78" spans="1:5" x14ac:dyDescent="0.2">
      <c r="A78" s="4">
        <f t="shared" si="3"/>
        <v>152</v>
      </c>
      <c r="B78" s="4">
        <f t="shared" si="2"/>
        <v>2.6529004630313806</v>
      </c>
      <c r="C78" s="4">
        <v>4.38</v>
      </c>
      <c r="D78" s="4">
        <f>Parametri!$A$4/SQRT(3)</f>
        <v>1.0076663134634544E-2</v>
      </c>
      <c r="E78" s="8">
        <f>Parametri!$B$2/SQRT(3)</f>
        <v>1.1547005383792516E-2</v>
      </c>
    </row>
    <row r="79" spans="1:5" x14ac:dyDescent="0.2">
      <c r="A79" s="4">
        <f t="shared" si="3"/>
        <v>154</v>
      </c>
      <c r="B79" s="4">
        <f t="shared" si="2"/>
        <v>2.6878070480712677</v>
      </c>
      <c r="C79" s="4">
        <v>4.43</v>
      </c>
      <c r="D79" s="4">
        <f>Parametri!$A$4/SQRT(3)</f>
        <v>1.0076663134634544E-2</v>
      </c>
      <c r="E79" s="8">
        <f>Parametri!$B$2/SQRT(3)</f>
        <v>1.1547005383792516E-2</v>
      </c>
    </row>
    <row r="80" spans="1:5" x14ac:dyDescent="0.2">
      <c r="A80" s="4">
        <f t="shared" si="3"/>
        <v>156</v>
      </c>
      <c r="B80" s="4">
        <f t="shared" si="2"/>
        <v>2.7227136331111539</v>
      </c>
      <c r="C80" s="4">
        <v>4.47</v>
      </c>
      <c r="D80" s="4">
        <f>Parametri!$A$4/SQRT(3)</f>
        <v>1.0076663134634544E-2</v>
      </c>
      <c r="E80" s="8">
        <f>Parametri!$B$2/SQRT(3)</f>
        <v>1.1547005383792516E-2</v>
      </c>
    </row>
    <row r="81" spans="1:5" x14ac:dyDescent="0.2">
      <c r="A81" s="4">
        <f t="shared" si="3"/>
        <v>158</v>
      </c>
      <c r="B81" s="4">
        <f t="shared" si="2"/>
        <v>2.7576202181510405</v>
      </c>
      <c r="C81" s="4">
        <v>4.51</v>
      </c>
      <c r="D81" s="4">
        <f>Parametri!$A$4/SQRT(3)</f>
        <v>1.0076663134634544E-2</v>
      </c>
      <c r="E81" s="8">
        <f>Parametri!$B$2/SQRT(3)</f>
        <v>1.1547005383792516E-2</v>
      </c>
    </row>
    <row r="82" spans="1:5" x14ac:dyDescent="0.2">
      <c r="A82" s="4">
        <f t="shared" si="3"/>
        <v>160</v>
      </c>
      <c r="B82" s="4">
        <f t="shared" si="2"/>
        <v>2.7925268031909272</v>
      </c>
      <c r="C82" s="4">
        <v>4.54</v>
      </c>
      <c r="D82" s="4">
        <f>Parametri!$A$4/SQRT(3)</f>
        <v>1.0076663134634544E-2</v>
      </c>
      <c r="E82" s="8">
        <f>Parametri!$B$2/SQRT(3)</f>
        <v>1.1547005383792516E-2</v>
      </c>
    </row>
    <row r="83" spans="1:5" x14ac:dyDescent="0.2">
      <c r="A83" s="4">
        <f t="shared" si="3"/>
        <v>162</v>
      </c>
      <c r="B83" s="4">
        <f t="shared" si="2"/>
        <v>2.8274333882308138</v>
      </c>
      <c r="C83" s="4">
        <v>4.59</v>
      </c>
      <c r="D83" s="4">
        <f>Parametri!$A$4/SQRT(3)</f>
        <v>1.0076663134634544E-2</v>
      </c>
      <c r="E83" s="8">
        <f>Parametri!$B$2/SQRT(3)</f>
        <v>1.1547005383792516E-2</v>
      </c>
    </row>
    <row r="84" spans="1:5" x14ac:dyDescent="0.2">
      <c r="A84" s="4">
        <f t="shared" si="3"/>
        <v>164</v>
      </c>
      <c r="B84" s="4">
        <f t="shared" si="2"/>
        <v>2.8623399732707</v>
      </c>
      <c r="C84" s="4">
        <v>4.5999999999999996</v>
      </c>
      <c r="D84" s="4">
        <f>Parametri!$A$4/SQRT(3)</f>
        <v>1.0076663134634544E-2</v>
      </c>
      <c r="E84" s="8">
        <f>Parametri!$B$2/SQRT(3)</f>
        <v>1.1547005383792516E-2</v>
      </c>
    </row>
    <row r="85" spans="1:5" x14ac:dyDescent="0.2">
      <c r="A85" s="4">
        <f t="shared" si="3"/>
        <v>166</v>
      </c>
      <c r="B85" s="4">
        <f t="shared" si="2"/>
        <v>2.8972465583105871</v>
      </c>
      <c r="C85" s="4">
        <v>4.66</v>
      </c>
      <c r="D85" s="4">
        <f>Parametri!$A$4/SQRT(3)</f>
        <v>1.0076663134634544E-2</v>
      </c>
      <c r="E85" s="8">
        <f>Parametri!$B$2/SQRT(3)</f>
        <v>1.1547005383792516E-2</v>
      </c>
    </row>
    <row r="86" spans="1:5" x14ac:dyDescent="0.2">
      <c r="A86" s="4">
        <f t="shared" si="3"/>
        <v>168</v>
      </c>
      <c r="B86" s="4">
        <f t="shared" si="2"/>
        <v>2.9321531433504737</v>
      </c>
      <c r="C86" s="4">
        <v>4.68</v>
      </c>
      <c r="D86" s="4">
        <f>Parametri!$A$4/SQRT(3)</f>
        <v>1.0076663134634544E-2</v>
      </c>
      <c r="E86" s="8">
        <f>Parametri!$B$2/SQRT(3)</f>
        <v>1.1547005383792516E-2</v>
      </c>
    </row>
    <row r="87" spans="1:5" x14ac:dyDescent="0.2">
      <c r="A87" s="4">
        <f t="shared" si="3"/>
        <v>170</v>
      </c>
      <c r="B87" s="4">
        <f t="shared" si="2"/>
        <v>2.9670597283903604</v>
      </c>
      <c r="C87" s="4">
        <v>4.6900000000000004</v>
      </c>
      <c r="D87" s="4">
        <f>Parametri!$A$4/SQRT(3)</f>
        <v>1.0076663134634544E-2</v>
      </c>
      <c r="E87" s="8">
        <f>Parametri!$B$2/SQRT(3)</f>
        <v>1.1547005383792516E-2</v>
      </c>
    </row>
    <row r="88" spans="1:5" x14ac:dyDescent="0.2">
      <c r="A88" s="4">
        <f t="shared" si="3"/>
        <v>172</v>
      </c>
      <c r="B88" s="4">
        <f t="shared" si="2"/>
        <v>3.0019663134302466</v>
      </c>
      <c r="C88" s="4">
        <v>4.71</v>
      </c>
      <c r="D88" s="4">
        <f>Parametri!$A$4/SQRT(3)</f>
        <v>1.0076663134634544E-2</v>
      </c>
      <c r="E88" s="8">
        <f>Parametri!$B$2/SQRT(3)</f>
        <v>1.1547005383792516E-2</v>
      </c>
    </row>
    <row r="89" spans="1:5" x14ac:dyDescent="0.2">
      <c r="A89" s="4">
        <f t="shared" si="3"/>
        <v>174</v>
      </c>
      <c r="B89" s="4">
        <f t="shared" si="2"/>
        <v>3.0368728984701332</v>
      </c>
      <c r="C89" s="4">
        <v>4.72</v>
      </c>
      <c r="D89" s="4">
        <f>Parametri!$A$4/SQRT(3)</f>
        <v>1.0076663134634544E-2</v>
      </c>
      <c r="E89" s="8">
        <f>Parametri!$B$2/SQRT(3)</f>
        <v>1.1547005383792516E-2</v>
      </c>
    </row>
    <row r="90" spans="1:5" x14ac:dyDescent="0.2">
      <c r="A90" s="4">
        <f t="shared" si="3"/>
        <v>176</v>
      </c>
      <c r="B90" s="4">
        <f t="shared" si="2"/>
        <v>3.0717794835100198</v>
      </c>
      <c r="C90" s="4">
        <v>4.7300000000000004</v>
      </c>
      <c r="D90" s="4">
        <f>Parametri!$A$4/SQRT(3)</f>
        <v>1.0076663134634544E-2</v>
      </c>
      <c r="E90" s="8">
        <f>Parametri!$B$2/SQRT(3)</f>
        <v>1.1547005383792516E-2</v>
      </c>
    </row>
    <row r="91" spans="1:5" x14ac:dyDescent="0.2">
      <c r="A91" s="4">
        <f t="shared" si="3"/>
        <v>178</v>
      </c>
      <c r="B91" s="4">
        <f t="shared" si="2"/>
        <v>3.1066860685499069</v>
      </c>
      <c r="C91" s="4">
        <v>4.74</v>
      </c>
      <c r="D91" s="4">
        <f>Parametri!$A$4/SQRT(3)</f>
        <v>1.0076663134634544E-2</v>
      </c>
      <c r="E91" s="8">
        <f>Parametri!$B$2/SQRT(3)</f>
        <v>1.1547005383792516E-2</v>
      </c>
    </row>
    <row r="92" spans="1:5" x14ac:dyDescent="0.2">
      <c r="A92" s="4">
        <f t="shared" si="3"/>
        <v>180</v>
      </c>
      <c r="B92" s="4">
        <f t="shared" si="2"/>
        <v>3.1415926535897931</v>
      </c>
      <c r="C92" s="4">
        <v>4.72</v>
      </c>
      <c r="D92" s="4">
        <f>Parametri!$A$4/SQRT(3)</f>
        <v>1.0076663134634544E-2</v>
      </c>
      <c r="E92" s="8">
        <f>Parametri!$B$2/SQRT(3)</f>
        <v>1.1547005383792516E-2</v>
      </c>
    </row>
    <row r="93" spans="1:5" x14ac:dyDescent="0.2">
      <c r="A93" s="4">
        <f t="shared" si="3"/>
        <v>182</v>
      </c>
      <c r="B93" s="4">
        <f t="shared" si="2"/>
        <v>3.1764992386296798</v>
      </c>
      <c r="C93" s="4">
        <v>4.7300000000000004</v>
      </c>
      <c r="D93" s="4">
        <f>Parametri!$A$4/SQRT(3)</f>
        <v>1.0076663134634544E-2</v>
      </c>
      <c r="E93" s="8">
        <f>Parametri!$B$2/SQRT(3)</f>
        <v>1.1547005383792516E-2</v>
      </c>
    </row>
    <row r="94" spans="1:5" x14ac:dyDescent="0.2">
      <c r="A94" s="4">
        <f t="shared" si="3"/>
        <v>184</v>
      </c>
      <c r="B94" s="4">
        <f t="shared" si="2"/>
        <v>3.211405823669566</v>
      </c>
      <c r="C94" s="4">
        <v>4.74</v>
      </c>
      <c r="D94" s="4">
        <f>Parametri!$A$4/SQRT(3)</f>
        <v>1.0076663134634544E-2</v>
      </c>
      <c r="E94" s="8">
        <f>Parametri!$B$2/SQRT(3)</f>
        <v>1.1547005383792516E-2</v>
      </c>
    </row>
    <row r="95" spans="1:5" x14ac:dyDescent="0.2">
      <c r="A95" s="4">
        <f t="shared" si="3"/>
        <v>186</v>
      </c>
      <c r="B95" s="4">
        <f t="shared" si="2"/>
        <v>3.2463124087094526</v>
      </c>
      <c r="C95" s="4">
        <v>4.72</v>
      </c>
      <c r="D95" s="4">
        <f>Parametri!$A$4/SQRT(3)</f>
        <v>1.0076663134634544E-2</v>
      </c>
      <c r="E95" s="8">
        <f>Parametri!$B$2/SQRT(3)</f>
        <v>1.1547005383792516E-2</v>
      </c>
    </row>
    <row r="96" spans="1:5" x14ac:dyDescent="0.2">
      <c r="A96" s="4">
        <f t="shared" si="3"/>
        <v>188</v>
      </c>
      <c r="B96" s="4">
        <f t="shared" si="2"/>
        <v>3.2812189937493397</v>
      </c>
      <c r="C96" s="4">
        <v>4.72</v>
      </c>
      <c r="D96" s="4">
        <f>Parametri!$A$4/SQRT(3)</f>
        <v>1.0076663134634544E-2</v>
      </c>
      <c r="E96" s="8">
        <f>Parametri!$B$2/SQRT(3)</f>
        <v>1.1547005383792516E-2</v>
      </c>
    </row>
    <row r="97" spans="1:5" x14ac:dyDescent="0.2">
      <c r="A97" s="4">
        <f t="shared" si="3"/>
        <v>190</v>
      </c>
      <c r="B97" s="4">
        <f t="shared" si="2"/>
        <v>3.3161255787892263</v>
      </c>
      <c r="C97" s="4">
        <v>4.7</v>
      </c>
      <c r="D97" s="4">
        <f>Parametri!$A$4/SQRT(3)</f>
        <v>1.0076663134634544E-2</v>
      </c>
      <c r="E97" s="8">
        <f>Parametri!$B$2/SQRT(3)</f>
        <v>1.1547005383792516E-2</v>
      </c>
    </row>
    <row r="98" spans="1:5" x14ac:dyDescent="0.2">
      <c r="A98" s="4">
        <f t="shared" si="3"/>
        <v>192</v>
      </c>
      <c r="B98" s="4">
        <f t="shared" si="2"/>
        <v>3.3510321638291125</v>
      </c>
      <c r="C98" s="4">
        <v>4.6500000000000004</v>
      </c>
      <c r="D98" s="4">
        <f>Parametri!$A$4/SQRT(3)</f>
        <v>1.0076663134634544E-2</v>
      </c>
      <c r="E98" s="8">
        <f>Parametri!$B$2/SQRT(3)</f>
        <v>1.1547005383792516E-2</v>
      </c>
    </row>
    <row r="99" spans="1:5" x14ac:dyDescent="0.2">
      <c r="A99" s="4">
        <f t="shared" si="3"/>
        <v>194</v>
      </c>
      <c r="B99" s="4">
        <f t="shared" si="2"/>
        <v>3.3859387488689991</v>
      </c>
      <c r="C99" s="4">
        <v>4.62</v>
      </c>
      <c r="D99" s="4">
        <f>Parametri!$A$4/SQRT(3)</f>
        <v>1.0076663134634544E-2</v>
      </c>
      <c r="E99" s="8">
        <f>Parametri!$B$2/SQRT(3)</f>
        <v>1.1547005383792516E-2</v>
      </c>
    </row>
    <row r="100" spans="1:5" x14ac:dyDescent="0.2">
      <c r="A100" s="4">
        <f t="shared" si="3"/>
        <v>196</v>
      </c>
      <c r="B100" s="4">
        <f t="shared" si="2"/>
        <v>3.4208453339088858</v>
      </c>
      <c r="C100" s="4">
        <v>4.58</v>
      </c>
      <c r="D100" s="4">
        <f>Parametri!$A$4/SQRT(3)</f>
        <v>1.0076663134634544E-2</v>
      </c>
      <c r="E100" s="8">
        <f>Parametri!$B$2/SQRT(3)</f>
        <v>1.1547005383792516E-2</v>
      </c>
    </row>
    <row r="101" spans="1:5" x14ac:dyDescent="0.2">
      <c r="A101" s="4">
        <f t="shared" si="3"/>
        <v>198</v>
      </c>
      <c r="B101" s="4">
        <f t="shared" si="2"/>
        <v>3.4557519189487729</v>
      </c>
      <c r="C101" s="4">
        <v>4.57</v>
      </c>
      <c r="D101" s="4">
        <f>Parametri!$A$4/SQRT(3)</f>
        <v>1.0076663134634544E-2</v>
      </c>
      <c r="E101" s="8">
        <f>Parametri!$B$2/SQRT(3)</f>
        <v>1.1547005383792516E-2</v>
      </c>
    </row>
    <row r="102" spans="1:5" x14ac:dyDescent="0.2">
      <c r="A102" s="4">
        <f t="shared" si="3"/>
        <v>200</v>
      </c>
      <c r="B102" s="4">
        <f t="shared" si="2"/>
        <v>3.4906585039886591</v>
      </c>
      <c r="C102" s="4">
        <v>4.51</v>
      </c>
      <c r="D102" s="4">
        <f>Parametri!$A$4/SQRT(3)</f>
        <v>1.0076663134634544E-2</v>
      </c>
      <c r="E102" s="8">
        <f>Parametri!$B$2/SQRT(3)</f>
        <v>1.1547005383792516E-2</v>
      </c>
    </row>
    <row r="103" spans="1:5" x14ac:dyDescent="0.2">
      <c r="A103" s="4">
        <f t="shared" si="3"/>
        <v>202</v>
      </c>
      <c r="B103" s="4">
        <f t="shared" si="2"/>
        <v>3.5255650890285457</v>
      </c>
      <c r="C103" s="4">
        <v>4.46</v>
      </c>
      <c r="D103" s="4">
        <f>Parametri!$A$4/SQRT(3)</f>
        <v>1.0076663134634544E-2</v>
      </c>
      <c r="E103" s="8">
        <f>Parametri!$B$2/SQRT(3)</f>
        <v>1.1547005383792516E-2</v>
      </c>
    </row>
    <row r="104" spans="1:5" x14ac:dyDescent="0.2">
      <c r="A104" s="4">
        <f t="shared" si="3"/>
        <v>204</v>
      </c>
      <c r="B104" s="4">
        <f t="shared" si="2"/>
        <v>3.5604716740684319</v>
      </c>
      <c r="C104" s="4">
        <v>4.4400000000000004</v>
      </c>
      <c r="D104" s="4">
        <f>Parametri!$A$4/SQRT(3)</f>
        <v>1.0076663134634544E-2</v>
      </c>
      <c r="E104" s="8">
        <f>Parametri!$B$2/SQRT(3)</f>
        <v>1.1547005383792516E-2</v>
      </c>
    </row>
    <row r="105" spans="1:5" x14ac:dyDescent="0.2">
      <c r="A105" s="4">
        <f t="shared" si="3"/>
        <v>206</v>
      </c>
      <c r="B105" s="4">
        <f t="shared" si="2"/>
        <v>3.5953782591083185</v>
      </c>
      <c r="C105" s="4">
        <v>4.38</v>
      </c>
      <c r="D105" s="4">
        <f>Parametri!$A$4/SQRT(3)</f>
        <v>1.0076663134634544E-2</v>
      </c>
      <c r="E105" s="8">
        <f>Parametri!$B$2/SQRT(3)</f>
        <v>1.1547005383792516E-2</v>
      </c>
    </row>
    <row r="106" spans="1:5" x14ac:dyDescent="0.2">
      <c r="A106" s="4">
        <f t="shared" si="3"/>
        <v>208</v>
      </c>
      <c r="B106" s="4">
        <f t="shared" si="2"/>
        <v>3.6302848441482056</v>
      </c>
      <c r="C106" s="4">
        <v>4.34</v>
      </c>
      <c r="D106" s="4">
        <f>Parametri!$A$4/SQRT(3)</f>
        <v>1.0076663134634544E-2</v>
      </c>
      <c r="E106" s="8">
        <f>Parametri!$B$2/SQRT(3)</f>
        <v>1.1547005383792516E-2</v>
      </c>
    </row>
    <row r="107" spans="1:5" x14ac:dyDescent="0.2">
      <c r="A107" s="4">
        <f t="shared" si="3"/>
        <v>210</v>
      </c>
      <c r="B107" s="4">
        <f t="shared" si="2"/>
        <v>3.6651914291880923</v>
      </c>
      <c r="C107" s="4">
        <v>4.26</v>
      </c>
      <c r="D107" s="4">
        <f>Parametri!$A$4/SQRT(3)</f>
        <v>1.0076663134634544E-2</v>
      </c>
      <c r="E107" s="8">
        <f>Parametri!$B$2/SQRT(3)</f>
        <v>1.1547005383792516E-2</v>
      </c>
    </row>
    <row r="108" spans="1:5" x14ac:dyDescent="0.2">
      <c r="A108" s="4">
        <f t="shared" si="3"/>
        <v>212</v>
      </c>
      <c r="B108" s="4">
        <f t="shared" si="2"/>
        <v>3.7000980142279785</v>
      </c>
      <c r="C108" s="4">
        <v>4.2</v>
      </c>
      <c r="D108" s="4">
        <f>Parametri!$A$4/SQRT(3)</f>
        <v>1.0076663134634544E-2</v>
      </c>
      <c r="E108" s="8">
        <f>Parametri!$B$2/SQRT(3)</f>
        <v>1.1547005383792516E-2</v>
      </c>
    </row>
    <row r="109" spans="1:5" x14ac:dyDescent="0.2">
      <c r="A109" s="4">
        <f t="shared" si="3"/>
        <v>214</v>
      </c>
      <c r="B109" s="4">
        <f t="shared" si="2"/>
        <v>3.7350045992678651</v>
      </c>
      <c r="C109" s="4">
        <v>4.12</v>
      </c>
      <c r="D109" s="4">
        <f>Parametri!$A$4/SQRT(3)</f>
        <v>1.0076663134634544E-2</v>
      </c>
      <c r="E109" s="8">
        <f>Parametri!$B$2/SQRT(3)</f>
        <v>1.1547005383792516E-2</v>
      </c>
    </row>
    <row r="110" spans="1:5" x14ac:dyDescent="0.2">
      <c r="A110" s="4">
        <f t="shared" si="3"/>
        <v>216</v>
      </c>
      <c r="B110" s="4">
        <f t="shared" si="2"/>
        <v>3.7699111843077517</v>
      </c>
      <c r="C110" s="4">
        <v>4.08</v>
      </c>
      <c r="D110" s="4">
        <f>Parametri!$A$4/SQRT(3)</f>
        <v>1.0076663134634544E-2</v>
      </c>
      <c r="E110" s="8">
        <f>Parametri!$B$2/SQRT(3)</f>
        <v>1.1547005383792516E-2</v>
      </c>
    </row>
    <row r="111" spans="1:5" x14ac:dyDescent="0.2">
      <c r="A111" s="4">
        <f t="shared" si="3"/>
        <v>218</v>
      </c>
      <c r="B111" s="4">
        <f t="shared" si="2"/>
        <v>3.8048177693476379</v>
      </c>
      <c r="C111" s="4">
        <v>4</v>
      </c>
      <c r="D111" s="4">
        <f>Parametri!$A$4/SQRT(3)</f>
        <v>1.0076663134634544E-2</v>
      </c>
      <c r="E111" s="8">
        <f>Parametri!$B$2/SQRT(3)</f>
        <v>1.1547005383792516E-2</v>
      </c>
    </row>
    <row r="112" spans="1:5" x14ac:dyDescent="0.2">
      <c r="A112" s="4">
        <f t="shared" si="3"/>
        <v>220</v>
      </c>
      <c r="B112" s="4">
        <f t="shared" si="2"/>
        <v>3.839724354387525</v>
      </c>
      <c r="C112" s="4">
        <v>3.92</v>
      </c>
      <c r="D112" s="4">
        <f>Parametri!$A$4/SQRT(3)</f>
        <v>1.0076663134634544E-2</v>
      </c>
      <c r="E112" s="8">
        <f>Parametri!$B$2/SQRT(3)</f>
        <v>1.1547005383792516E-2</v>
      </c>
    </row>
    <row r="113" spans="1:5" x14ac:dyDescent="0.2">
      <c r="A113" s="4">
        <f t="shared" si="3"/>
        <v>222</v>
      </c>
      <c r="B113" s="4">
        <f t="shared" si="2"/>
        <v>3.8746309394274117</v>
      </c>
      <c r="C113" s="4">
        <v>3.86</v>
      </c>
      <c r="D113" s="4">
        <f>Parametri!$A$4/SQRT(3)</f>
        <v>1.0076663134634544E-2</v>
      </c>
      <c r="E113" s="8">
        <f>Parametri!$B$2/SQRT(3)</f>
        <v>1.1547005383792516E-2</v>
      </c>
    </row>
    <row r="114" spans="1:5" x14ac:dyDescent="0.2">
      <c r="A114" s="4">
        <f t="shared" si="3"/>
        <v>224</v>
      </c>
      <c r="B114" s="4">
        <f t="shared" si="2"/>
        <v>3.9095375244672983</v>
      </c>
      <c r="C114" s="4">
        <v>3.8</v>
      </c>
      <c r="D114" s="4">
        <f>Parametri!$A$4/SQRT(3)</f>
        <v>1.0076663134634544E-2</v>
      </c>
      <c r="E114" s="8">
        <f>Parametri!$B$2/SQRT(3)</f>
        <v>1.1547005383792516E-2</v>
      </c>
    </row>
    <row r="115" spans="1:5" x14ac:dyDescent="0.2">
      <c r="A115" s="4">
        <f t="shared" si="3"/>
        <v>226</v>
      </c>
      <c r="B115" s="4">
        <f t="shared" si="2"/>
        <v>3.9444441095071845</v>
      </c>
      <c r="C115" s="4">
        <v>3.73</v>
      </c>
      <c r="D115" s="4">
        <f>Parametri!$A$4/SQRT(3)</f>
        <v>1.0076663134634544E-2</v>
      </c>
      <c r="E115" s="8">
        <f>Parametri!$B$2/SQRT(3)</f>
        <v>1.1547005383792516E-2</v>
      </c>
    </row>
    <row r="116" spans="1:5" x14ac:dyDescent="0.2">
      <c r="A116" s="4">
        <f t="shared" si="3"/>
        <v>228</v>
      </c>
      <c r="B116" s="4">
        <f t="shared" si="2"/>
        <v>3.9793506945470711</v>
      </c>
      <c r="C116" s="4">
        <v>3.67</v>
      </c>
      <c r="D116" s="4">
        <f>Parametri!$A$4/SQRT(3)</f>
        <v>1.0076663134634544E-2</v>
      </c>
      <c r="E116" s="8">
        <f>Parametri!$B$2/SQRT(3)</f>
        <v>1.1547005383792516E-2</v>
      </c>
    </row>
    <row r="117" spans="1:5" x14ac:dyDescent="0.2">
      <c r="A117" s="4">
        <f t="shared" si="3"/>
        <v>230</v>
      </c>
      <c r="B117" s="4">
        <f t="shared" si="2"/>
        <v>4.0142572795869578</v>
      </c>
      <c r="C117" s="4">
        <v>3.58</v>
      </c>
      <c r="D117" s="4">
        <f>Parametri!$A$4/SQRT(3)</f>
        <v>1.0076663134634544E-2</v>
      </c>
      <c r="E117" s="8">
        <f>Parametri!$B$2/SQRT(3)</f>
        <v>1.1547005383792516E-2</v>
      </c>
    </row>
    <row r="118" spans="1:5" x14ac:dyDescent="0.2">
      <c r="A118" s="4">
        <f t="shared" si="3"/>
        <v>232</v>
      </c>
      <c r="B118" s="4">
        <f t="shared" si="2"/>
        <v>4.0491638646268449</v>
      </c>
      <c r="C118" s="4">
        <v>3.53</v>
      </c>
      <c r="D118" s="4">
        <f>Parametri!$A$4/SQRT(3)</f>
        <v>1.0076663134634544E-2</v>
      </c>
      <c r="E118" s="8">
        <f>Parametri!$B$2/SQRT(3)</f>
        <v>1.1547005383792516E-2</v>
      </c>
    </row>
    <row r="119" spans="1:5" x14ac:dyDescent="0.2">
      <c r="A119" s="4">
        <f t="shared" si="3"/>
        <v>234</v>
      </c>
      <c r="B119" s="4">
        <f t="shared" si="2"/>
        <v>4.0840704496667311</v>
      </c>
      <c r="C119" s="4">
        <v>3.48</v>
      </c>
      <c r="D119" s="4">
        <f>Parametri!$A$4/SQRT(3)</f>
        <v>1.0076663134634544E-2</v>
      </c>
      <c r="E119" s="8">
        <f>Parametri!$B$2/SQRT(3)</f>
        <v>1.1547005383792516E-2</v>
      </c>
    </row>
    <row r="120" spans="1:5" x14ac:dyDescent="0.2">
      <c r="A120" s="4">
        <f t="shared" si="3"/>
        <v>236</v>
      </c>
      <c r="B120" s="4">
        <f t="shared" si="2"/>
        <v>4.1189770347066172</v>
      </c>
      <c r="C120" s="4">
        <v>3.38</v>
      </c>
      <c r="D120" s="4">
        <f>Parametri!$A$4/SQRT(3)</f>
        <v>1.0076663134634544E-2</v>
      </c>
      <c r="E120" s="8">
        <f>Parametri!$B$2/SQRT(3)</f>
        <v>1.1547005383792516E-2</v>
      </c>
    </row>
    <row r="121" spans="1:5" x14ac:dyDescent="0.2">
      <c r="A121" s="4">
        <f t="shared" si="3"/>
        <v>238</v>
      </c>
      <c r="B121" s="4">
        <f t="shared" si="2"/>
        <v>4.1538836197465043</v>
      </c>
      <c r="C121" s="4">
        <v>3.33</v>
      </c>
      <c r="D121" s="4">
        <f>Parametri!$A$4/SQRT(3)</f>
        <v>1.0076663134634544E-2</v>
      </c>
      <c r="E121" s="8">
        <f>Parametri!$B$2/SQRT(3)</f>
        <v>1.1547005383792516E-2</v>
      </c>
    </row>
    <row r="122" spans="1:5" x14ac:dyDescent="0.2">
      <c r="A122" s="4">
        <f t="shared" si="3"/>
        <v>240</v>
      </c>
      <c r="B122" s="4">
        <f t="shared" si="2"/>
        <v>4.1887902047863905</v>
      </c>
      <c r="C122" s="4">
        <v>3.26</v>
      </c>
      <c r="D122" s="4">
        <f>Parametri!$A$4/SQRT(3)</f>
        <v>1.0076663134634544E-2</v>
      </c>
      <c r="E122" s="8">
        <f>Parametri!$B$2/SQRT(3)</f>
        <v>1.1547005383792516E-2</v>
      </c>
    </row>
    <row r="123" spans="1:5" x14ac:dyDescent="0.2">
      <c r="A123" s="4">
        <f t="shared" si="3"/>
        <v>242</v>
      </c>
      <c r="B123" s="4">
        <f t="shared" si="2"/>
        <v>4.2236967898262776</v>
      </c>
      <c r="C123" s="4">
        <v>3.18</v>
      </c>
      <c r="D123" s="4">
        <f>Parametri!$A$4/SQRT(3)</f>
        <v>1.0076663134634544E-2</v>
      </c>
      <c r="E123" s="8">
        <f>Parametri!$B$2/SQRT(3)</f>
        <v>1.1547005383792516E-2</v>
      </c>
    </row>
    <row r="124" spans="1:5" x14ac:dyDescent="0.2">
      <c r="A124" s="4">
        <f t="shared" si="3"/>
        <v>244</v>
      </c>
      <c r="B124" s="4">
        <f t="shared" si="2"/>
        <v>4.2586033748661638</v>
      </c>
      <c r="C124" s="4">
        <v>3.15</v>
      </c>
      <c r="D124" s="4">
        <f>Parametri!$A$4/SQRT(3)</f>
        <v>1.0076663134634544E-2</v>
      </c>
      <c r="E124" s="8">
        <f>Parametri!$B$2/SQRT(3)</f>
        <v>1.1547005383792516E-2</v>
      </c>
    </row>
    <row r="125" spans="1:5" x14ac:dyDescent="0.2">
      <c r="A125" s="4">
        <f t="shared" si="3"/>
        <v>246</v>
      </c>
      <c r="B125" s="4">
        <f t="shared" si="2"/>
        <v>4.2935099599060509</v>
      </c>
      <c r="C125" s="4">
        <v>3.06</v>
      </c>
      <c r="D125" s="4">
        <f>Parametri!$A$4/SQRT(3)</f>
        <v>1.0076663134634544E-2</v>
      </c>
      <c r="E125" s="8">
        <f>Parametri!$B$2/SQRT(3)</f>
        <v>1.1547005383792516E-2</v>
      </c>
    </row>
    <row r="126" spans="1:5" x14ac:dyDescent="0.2">
      <c r="A126" s="4">
        <f t="shared" si="3"/>
        <v>248</v>
      </c>
      <c r="B126" s="4">
        <f t="shared" si="2"/>
        <v>4.3284165449459371</v>
      </c>
      <c r="C126" s="4">
        <v>3.03</v>
      </c>
      <c r="D126" s="4">
        <f>Parametri!$A$4/SQRT(3)</f>
        <v>1.0076663134634544E-2</v>
      </c>
      <c r="E126" s="8">
        <f>Parametri!$B$2/SQRT(3)</f>
        <v>1.1547005383792516E-2</v>
      </c>
    </row>
    <row r="127" spans="1:5" x14ac:dyDescent="0.2">
      <c r="A127" s="4">
        <f t="shared" si="3"/>
        <v>250</v>
      </c>
      <c r="B127" s="4">
        <f t="shared" si="2"/>
        <v>4.3633231299858233</v>
      </c>
      <c r="C127" s="4">
        <v>2.98</v>
      </c>
      <c r="D127" s="4">
        <f>Parametri!$A$4/SQRT(3)</f>
        <v>1.0076663134634544E-2</v>
      </c>
      <c r="E127" s="8">
        <f>Parametri!$B$2/SQRT(3)</f>
        <v>1.1547005383792516E-2</v>
      </c>
    </row>
    <row r="128" spans="1:5" x14ac:dyDescent="0.2">
      <c r="A128" s="4">
        <f t="shared" si="3"/>
        <v>252</v>
      </c>
      <c r="B128" s="4">
        <f t="shared" si="2"/>
        <v>4.3982297150257104</v>
      </c>
      <c r="C128" s="4">
        <v>2.92</v>
      </c>
      <c r="D128" s="4">
        <f>Parametri!$A$4/SQRT(3)</f>
        <v>1.0076663134634544E-2</v>
      </c>
      <c r="E128" s="8">
        <f>Parametri!$B$2/SQRT(3)</f>
        <v>1.1547005383792516E-2</v>
      </c>
    </row>
    <row r="129" spans="1:6" x14ac:dyDescent="0.2">
      <c r="A129" s="4">
        <f t="shared" si="3"/>
        <v>254</v>
      </c>
      <c r="B129" s="4">
        <f t="shared" si="2"/>
        <v>4.4331363000655974</v>
      </c>
      <c r="C129" s="4">
        <v>2.88</v>
      </c>
      <c r="D129" s="4">
        <f>Parametri!$A$4/SQRT(3)</f>
        <v>1.0076663134634544E-2</v>
      </c>
      <c r="E129" s="8">
        <f>Parametri!$B$2/SQRT(3)</f>
        <v>1.1547005383792516E-2</v>
      </c>
    </row>
    <row r="130" spans="1:6" x14ac:dyDescent="0.2">
      <c r="A130" s="4">
        <f t="shared" si="3"/>
        <v>256</v>
      </c>
      <c r="B130" s="4">
        <f t="shared" si="2"/>
        <v>4.4680428851054836</v>
      </c>
      <c r="C130" s="4">
        <v>2.85</v>
      </c>
      <c r="D130" s="4">
        <f>Parametri!$A$4/SQRT(3)</f>
        <v>1.0076663134634544E-2</v>
      </c>
      <c r="E130" s="8">
        <f>Parametri!$B$2/SQRT(3)</f>
        <v>1.1547005383792516E-2</v>
      </c>
    </row>
    <row r="131" spans="1:6" x14ac:dyDescent="0.2">
      <c r="A131" s="4">
        <f t="shared" si="3"/>
        <v>258</v>
      </c>
      <c r="B131" s="4">
        <f t="shared" ref="B131:B194" si="4">A131*PI()/180</f>
        <v>4.5029494701453698</v>
      </c>
      <c r="C131" s="4">
        <v>2.82</v>
      </c>
      <c r="D131" s="4">
        <f>Parametri!$A$4/SQRT(3)</f>
        <v>1.0076663134634544E-2</v>
      </c>
      <c r="E131" s="8">
        <f>Parametri!$B$2/SQRT(3)</f>
        <v>1.1547005383792516E-2</v>
      </c>
    </row>
    <row r="132" spans="1:6" x14ac:dyDescent="0.2">
      <c r="A132" s="4">
        <f t="shared" ref="A132:A180" si="5">A131+2</f>
        <v>260</v>
      </c>
      <c r="B132" s="4">
        <f t="shared" si="4"/>
        <v>4.5378560551852569</v>
      </c>
      <c r="C132" s="4">
        <v>2.79</v>
      </c>
      <c r="D132" s="4">
        <f>Parametri!$A$4/SQRT(3)</f>
        <v>1.0076663134634544E-2</v>
      </c>
      <c r="E132" s="8">
        <f>Parametri!$B$2/SQRT(3)</f>
        <v>1.1547005383792516E-2</v>
      </c>
    </row>
    <row r="133" spans="1:6" x14ac:dyDescent="0.2">
      <c r="A133" s="4">
        <f t="shared" si="5"/>
        <v>262</v>
      </c>
      <c r="B133" s="4">
        <f t="shared" si="4"/>
        <v>4.572762640225144</v>
      </c>
      <c r="C133" s="4">
        <v>2.79</v>
      </c>
      <c r="D133" s="4">
        <f>Parametri!$A$4/SQRT(3)</f>
        <v>1.0076663134634544E-2</v>
      </c>
      <c r="E133" s="8">
        <f>Parametri!$B$2/SQRT(3)</f>
        <v>1.1547005383792516E-2</v>
      </c>
    </row>
    <row r="134" spans="1:6" x14ac:dyDescent="0.2">
      <c r="A134" s="4">
        <f t="shared" si="5"/>
        <v>264</v>
      </c>
      <c r="B134" s="4">
        <f t="shared" si="4"/>
        <v>4.6076692252650302</v>
      </c>
      <c r="C134" s="4">
        <v>2.77</v>
      </c>
      <c r="D134" s="4">
        <f>Parametri!$A$4/SQRT(3)</f>
        <v>1.0076663134634544E-2</v>
      </c>
      <c r="E134" s="8">
        <f>Parametri!$B$2/SQRT(3)</f>
        <v>1.1547005383792516E-2</v>
      </c>
    </row>
    <row r="135" spans="1:6" x14ac:dyDescent="0.2">
      <c r="A135" s="4">
        <f t="shared" si="5"/>
        <v>266</v>
      </c>
      <c r="B135" s="4">
        <f t="shared" si="4"/>
        <v>4.6425758103049164</v>
      </c>
      <c r="C135" s="4">
        <v>2.75</v>
      </c>
      <c r="D135" s="4">
        <f>Parametri!$A$4/SQRT(3)</f>
        <v>1.0076663134634544E-2</v>
      </c>
      <c r="E135" s="8">
        <f>Parametri!$B$2/SQRT(3)</f>
        <v>1.1547005383792516E-2</v>
      </c>
    </row>
    <row r="136" spans="1:6" x14ac:dyDescent="0.2">
      <c r="A136" s="4">
        <f t="shared" si="5"/>
        <v>268</v>
      </c>
      <c r="B136" s="4">
        <f t="shared" si="4"/>
        <v>4.6774823953448026</v>
      </c>
      <c r="C136" s="4">
        <v>2.75</v>
      </c>
      <c r="D136" s="4">
        <f>Parametri!$A$4/SQRT(3)</f>
        <v>1.0076663134634544E-2</v>
      </c>
      <c r="E136" s="8">
        <f>Parametri!$B$2/SQRT(3)</f>
        <v>1.1547005383792516E-2</v>
      </c>
    </row>
    <row r="137" spans="1:6" x14ac:dyDescent="0.2">
      <c r="A137" s="4">
        <f t="shared" si="5"/>
        <v>270</v>
      </c>
      <c r="B137" s="4">
        <f t="shared" si="4"/>
        <v>4.7123889803846897</v>
      </c>
      <c r="C137" s="4">
        <v>2.76</v>
      </c>
      <c r="D137" s="4">
        <f>Parametri!$A$4/SQRT(3)</f>
        <v>1.0076663134634544E-2</v>
      </c>
      <c r="E137" s="8">
        <f>Parametri!$B$2/SQRT(3)</f>
        <v>1.1547005383792516E-2</v>
      </c>
    </row>
    <row r="138" spans="1:6" x14ac:dyDescent="0.2">
      <c r="A138" s="4">
        <f t="shared" si="5"/>
        <v>272</v>
      </c>
      <c r="B138" s="4">
        <f t="shared" si="4"/>
        <v>4.7472955654245768</v>
      </c>
      <c r="C138" s="4">
        <v>2.77</v>
      </c>
      <c r="D138" s="4">
        <f>Parametri!$A$4/SQRT(3)</f>
        <v>1.0076663134634544E-2</v>
      </c>
      <c r="E138" s="8">
        <f>Parametri!$B$2/SQRT(3)</f>
        <v>1.1547005383792516E-2</v>
      </c>
    </row>
    <row r="139" spans="1:6" x14ac:dyDescent="0.2">
      <c r="A139" s="4">
        <f t="shared" si="5"/>
        <v>274</v>
      </c>
      <c r="B139" s="4">
        <f t="shared" si="4"/>
        <v>4.782202150464463</v>
      </c>
      <c r="C139" s="4">
        <v>2.79</v>
      </c>
      <c r="D139" s="4">
        <f>Parametri!$A$4/SQRT(3)</f>
        <v>1.0076663134634544E-2</v>
      </c>
      <c r="E139" s="8">
        <f>Parametri!$B$2/SQRT(3)</f>
        <v>1.1547005383792516E-2</v>
      </c>
    </row>
    <row r="140" spans="1:6" x14ac:dyDescent="0.2">
      <c r="A140" s="4">
        <f t="shared" si="5"/>
        <v>276</v>
      </c>
      <c r="B140" s="4">
        <f t="shared" si="4"/>
        <v>4.8171087355043491</v>
      </c>
      <c r="C140" s="4">
        <v>2.81</v>
      </c>
      <c r="D140" s="4">
        <f>Parametri!$A$4/SQRT(3)</f>
        <v>1.0076663134634544E-2</v>
      </c>
      <c r="E140" s="8">
        <f>Parametri!$B$2/SQRT(3)</f>
        <v>1.1547005383792516E-2</v>
      </c>
      <c r="F140" s="6"/>
    </row>
    <row r="141" spans="1:6" x14ac:dyDescent="0.2">
      <c r="A141" s="4">
        <f t="shared" si="5"/>
        <v>278</v>
      </c>
      <c r="B141" s="4">
        <f t="shared" si="4"/>
        <v>4.8520153205442362</v>
      </c>
      <c r="C141" s="4">
        <v>2.86</v>
      </c>
      <c r="D141" s="4">
        <f>Parametri!$A$4/SQRT(3)</f>
        <v>1.0076663134634544E-2</v>
      </c>
      <c r="E141" s="8">
        <f>Parametri!$B$2/SQRT(3)</f>
        <v>1.1547005383792516E-2</v>
      </c>
      <c r="F141" s="6"/>
    </row>
    <row r="142" spans="1:6" x14ac:dyDescent="0.2">
      <c r="A142" s="4">
        <f t="shared" si="5"/>
        <v>280</v>
      </c>
      <c r="B142" s="4">
        <f t="shared" si="4"/>
        <v>4.8869219055841224</v>
      </c>
      <c r="C142" s="4">
        <v>2.87</v>
      </c>
      <c r="D142" s="4">
        <f>Parametri!$A$4/SQRT(3)</f>
        <v>1.0076663134634544E-2</v>
      </c>
      <c r="E142" s="8">
        <f>Parametri!$B$2/SQRT(3)</f>
        <v>1.1547005383792516E-2</v>
      </c>
    </row>
    <row r="143" spans="1:6" x14ac:dyDescent="0.2">
      <c r="A143" s="4">
        <f t="shared" si="5"/>
        <v>282</v>
      </c>
      <c r="B143" s="4">
        <f t="shared" si="4"/>
        <v>4.9218284906240086</v>
      </c>
      <c r="C143" s="4">
        <v>2.88</v>
      </c>
      <c r="D143" s="4">
        <f>Parametri!$A$4/SQRT(3)</f>
        <v>1.0076663134634544E-2</v>
      </c>
      <c r="E143" s="8">
        <f>Parametri!$B$2/SQRT(3)</f>
        <v>1.1547005383792516E-2</v>
      </c>
    </row>
    <row r="144" spans="1:6" x14ac:dyDescent="0.2">
      <c r="A144" s="4">
        <f t="shared" si="5"/>
        <v>284</v>
      </c>
      <c r="B144" s="4">
        <f t="shared" si="4"/>
        <v>4.9567350756638957</v>
      </c>
      <c r="C144" s="4">
        <v>2.94</v>
      </c>
      <c r="D144" s="4">
        <f>Parametri!$A$4/SQRT(3)</f>
        <v>1.0076663134634544E-2</v>
      </c>
      <c r="E144" s="8">
        <f>Parametri!$B$2/SQRT(3)</f>
        <v>1.1547005383792516E-2</v>
      </c>
    </row>
    <row r="145" spans="1:5" x14ac:dyDescent="0.2">
      <c r="A145" s="4">
        <f t="shared" si="5"/>
        <v>286</v>
      </c>
      <c r="B145" s="4">
        <f t="shared" si="4"/>
        <v>4.9916416607037828</v>
      </c>
      <c r="C145" s="4">
        <v>2.98</v>
      </c>
      <c r="D145" s="4">
        <f>Parametri!$A$4/SQRT(3)</f>
        <v>1.0076663134634544E-2</v>
      </c>
      <c r="E145" s="8">
        <f>Parametri!$B$2/SQRT(3)</f>
        <v>1.1547005383792516E-2</v>
      </c>
    </row>
    <row r="146" spans="1:5" x14ac:dyDescent="0.2">
      <c r="A146" s="4">
        <f t="shared" si="5"/>
        <v>288</v>
      </c>
      <c r="B146" s="4">
        <f t="shared" si="4"/>
        <v>5.026548245743669</v>
      </c>
      <c r="C146" s="4">
        <v>3.01</v>
      </c>
      <c r="D146" s="4">
        <f>Parametri!$A$4/SQRT(3)</f>
        <v>1.0076663134634544E-2</v>
      </c>
      <c r="E146" s="8">
        <f>Parametri!$B$2/SQRT(3)</f>
        <v>1.1547005383792516E-2</v>
      </c>
    </row>
    <row r="147" spans="1:5" x14ac:dyDescent="0.2">
      <c r="A147" s="4">
        <f t="shared" si="5"/>
        <v>290</v>
      </c>
      <c r="B147" s="4">
        <f t="shared" si="4"/>
        <v>5.0614548307835552</v>
      </c>
      <c r="C147" s="4">
        <v>3.06</v>
      </c>
      <c r="D147" s="4">
        <f>Parametri!$A$4/SQRT(3)</f>
        <v>1.0076663134634544E-2</v>
      </c>
      <c r="E147" s="8">
        <f>Parametri!$B$2/SQRT(3)</f>
        <v>1.1547005383792516E-2</v>
      </c>
    </row>
    <row r="148" spans="1:5" x14ac:dyDescent="0.2">
      <c r="A148" s="4">
        <f t="shared" si="5"/>
        <v>292</v>
      </c>
      <c r="B148" s="4">
        <f t="shared" si="4"/>
        <v>5.0963614158234423</v>
      </c>
      <c r="C148" s="4">
        <v>3.13</v>
      </c>
      <c r="D148" s="4">
        <f>Parametri!$A$4/SQRT(3)</f>
        <v>1.0076663134634544E-2</v>
      </c>
      <c r="E148" s="8">
        <f>Parametri!$B$2/SQRT(3)</f>
        <v>1.1547005383792516E-2</v>
      </c>
    </row>
    <row r="149" spans="1:5" x14ac:dyDescent="0.2">
      <c r="A149" s="4">
        <f t="shared" si="5"/>
        <v>294</v>
      </c>
      <c r="B149" s="4">
        <f t="shared" si="4"/>
        <v>5.1312680008633293</v>
      </c>
      <c r="C149" s="4">
        <v>3.18</v>
      </c>
      <c r="D149" s="4">
        <f>Parametri!$A$4/SQRT(3)</f>
        <v>1.0076663134634544E-2</v>
      </c>
      <c r="E149" s="8">
        <f>Parametri!$B$2/SQRT(3)</f>
        <v>1.1547005383792516E-2</v>
      </c>
    </row>
    <row r="150" spans="1:5" x14ac:dyDescent="0.2">
      <c r="A150" s="4">
        <f t="shared" si="5"/>
        <v>296</v>
      </c>
      <c r="B150" s="4">
        <f t="shared" si="4"/>
        <v>5.1661745859032155</v>
      </c>
      <c r="C150" s="4">
        <v>3.24</v>
      </c>
      <c r="D150" s="4">
        <f>Parametri!$A$4/SQRT(3)</f>
        <v>1.0076663134634544E-2</v>
      </c>
      <c r="E150" s="8">
        <f>Parametri!$B$2/SQRT(3)</f>
        <v>1.1547005383792516E-2</v>
      </c>
    </row>
    <row r="151" spans="1:5" x14ac:dyDescent="0.2">
      <c r="A151" s="4">
        <f t="shared" si="5"/>
        <v>298</v>
      </c>
      <c r="B151" s="4">
        <f t="shared" si="4"/>
        <v>5.2010811709431017</v>
      </c>
      <c r="C151" s="4">
        <v>3.31</v>
      </c>
      <c r="D151" s="4">
        <f>Parametri!$A$4/SQRT(3)</f>
        <v>1.0076663134634544E-2</v>
      </c>
      <c r="E151" s="8">
        <f>Parametri!$B$2/SQRT(3)</f>
        <v>1.1547005383792516E-2</v>
      </c>
    </row>
    <row r="152" spans="1:5" x14ac:dyDescent="0.2">
      <c r="A152" s="4">
        <f t="shared" si="5"/>
        <v>300</v>
      </c>
      <c r="B152" s="4">
        <f t="shared" si="4"/>
        <v>5.2359877559829888</v>
      </c>
      <c r="C152" s="4">
        <v>3.35</v>
      </c>
      <c r="D152" s="4">
        <f>Parametri!$A$4/SQRT(3)</f>
        <v>1.0076663134634544E-2</v>
      </c>
      <c r="E152" s="8">
        <f>Parametri!$B$2/SQRT(3)</f>
        <v>1.1547005383792516E-2</v>
      </c>
    </row>
    <row r="153" spans="1:5" x14ac:dyDescent="0.2">
      <c r="A153" s="4">
        <f t="shared" si="5"/>
        <v>302</v>
      </c>
      <c r="B153" s="4">
        <f t="shared" si="4"/>
        <v>5.270894341022875</v>
      </c>
      <c r="C153" s="4">
        <v>3.42</v>
      </c>
      <c r="D153" s="4">
        <f>Parametri!$A$4/SQRT(3)</f>
        <v>1.0076663134634544E-2</v>
      </c>
      <c r="E153" s="8">
        <f>Parametri!$B$2/SQRT(3)</f>
        <v>1.1547005383792516E-2</v>
      </c>
    </row>
    <row r="154" spans="1:5" x14ac:dyDescent="0.2">
      <c r="A154" s="4">
        <f t="shared" si="5"/>
        <v>304</v>
      </c>
      <c r="B154" s="4">
        <f t="shared" si="4"/>
        <v>5.3058009260627612</v>
      </c>
      <c r="C154" s="4">
        <v>3.49</v>
      </c>
      <c r="D154" s="4">
        <f>Parametri!$A$4/SQRT(3)</f>
        <v>1.0076663134634544E-2</v>
      </c>
      <c r="E154" s="8">
        <f>Parametri!$B$2/SQRT(3)</f>
        <v>1.1547005383792516E-2</v>
      </c>
    </row>
    <row r="155" spans="1:5" x14ac:dyDescent="0.2">
      <c r="A155" s="4">
        <f t="shared" si="5"/>
        <v>306</v>
      </c>
      <c r="B155" s="4">
        <f t="shared" si="4"/>
        <v>5.3407075111026483</v>
      </c>
      <c r="C155" s="4">
        <v>3.57</v>
      </c>
      <c r="D155" s="4">
        <f>Parametri!$A$4/SQRT(3)</f>
        <v>1.0076663134634544E-2</v>
      </c>
      <c r="E155" s="8">
        <f>Parametri!$B$2/SQRT(3)</f>
        <v>1.1547005383792516E-2</v>
      </c>
    </row>
    <row r="156" spans="1:5" x14ac:dyDescent="0.2">
      <c r="A156" s="4">
        <f t="shared" si="5"/>
        <v>308</v>
      </c>
      <c r="B156" s="4">
        <f t="shared" si="4"/>
        <v>5.3756140961425354</v>
      </c>
      <c r="C156" s="4">
        <v>3.62</v>
      </c>
      <c r="D156" s="4">
        <f>Parametri!$A$4/SQRT(3)</f>
        <v>1.0076663134634544E-2</v>
      </c>
      <c r="E156" s="8">
        <f>Parametri!$B$2/SQRT(3)</f>
        <v>1.1547005383792516E-2</v>
      </c>
    </row>
    <row r="157" spans="1:5" x14ac:dyDescent="0.2">
      <c r="A157" s="4">
        <f t="shared" si="5"/>
        <v>310</v>
      </c>
      <c r="B157" s="4">
        <f t="shared" si="4"/>
        <v>5.4105206811824216</v>
      </c>
      <c r="C157" s="4">
        <v>3.69</v>
      </c>
      <c r="D157" s="4">
        <f>Parametri!$A$4/SQRT(3)</f>
        <v>1.0076663134634544E-2</v>
      </c>
      <c r="E157" s="8">
        <f>Parametri!$B$2/SQRT(3)</f>
        <v>1.1547005383792516E-2</v>
      </c>
    </row>
    <row r="158" spans="1:5" x14ac:dyDescent="0.2">
      <c r="A158" s="4">
        <f t="shared" si="5"/>
        <v>312</v>
      </c>
      <c r="B158" s="4">
        <f t="shared" si="4"/>
        <v>5.4454272662223078</v>
      </c>
      <c r="C158" s="4">
        <v>3.78</v>
      </c>
      <c r="D158" s="4">
        <f>Parametri!$A$4/SQRT(3)</f>
        <v>1.0076663134634544E-2</v>
      </c>
      <c r="E158" s="8">
        <f>Parametri!$B$2/SQRT(3)</f>
        <v>1.1547005383792516E-2</v>
      </c>
    </row>
    <row r="159" spans="1:5" x14ac:dyDescent="0.2">
      <c r="A159" s="4">
        <f t="shared" si="5"/>
        <v>314</v>
      </c>
      <c r="B159" s="4">
        <f t="shared" si="4"/>
        <v>5.480333851262194</v>
      </c>
      <c r="C159" s="4">
        <v>3.82</v>
      </c>
      <c r="D159" s="4">
        <f>Parametri!$A$4/SQRT(3)</f>
        <v>1.0076663134634544E-2</v>
      </c>
      <c r="E159" s="8">
        <f>Parametri!$B$2/SQRT(3)</f>
        <v>1.1547005383792516E-2</v>
      </c>
    </row>
    <row r="160" spans="1:5" x14ac:dyDescent="0.2">
      <c r="A160" s="4">
        <f t="shared" si="5"/>
        <v>316</v>
      </c>
      <c r="B160" s="4">
        <f t="shared" si="4"/>
        <v>5.5152404363020811</v>
      </c>
      <c r="C160" s="4">
        <v>3.88</v>
      </c>
      <c r="D160" s="4">
        <f>Parametri!$A$4/SQRT(3)</f>
        <v>1.0076663134634544E-2</v>
      </c>
      <c r="E160" s="8">
        <f>Parametri!$B$2/SQRT(3)</f>
        <v>1.1547005383792516E-2</v>
      </c>
    </row>
    <row r="161" spans="1:5" x14ac:dyDescent="0.2">
      <c r="A161" s="4">
        <f t="shared" si="5"/>
        <v>318</v>
      </c>
      <c r="B161" s="4">
        <f t="shared" si="4"/>
        <v>5.5501470213419681</v>
      </c>
      <c r="C161" s="4">
        <v>3.95</v>
      </c>
      <c r="D161" s="4">
        <f>Parametri!$A$4/SQRT(3)</f>
        <v>1.0076663134634544E-2</v>
      </c>
      <c r="E161" s="8">
        <f>Parametri!$B$2/SQRT(3)</f>
        <v>1.1547005383792516E-2</v>
      </c>
    </row>
    <row r="162" spans="1:5" x14ac:dyDescent="0.2">
      <c r="A162" s="4">
        <f t="shared" si="5"/>
        <v>320</v>
      </c>
      <c r="B162" s="4">
        <f t="shared" si="4"/>
        <v>5.5850536063818543</v>
      </c>
      <c r="C162" s="4">
        <v>3.99</v>
      </c>
      <c r="D162" s="4">
        <f>Parametri!$A$4/SQRT(3)</f>
        <v>1.0076663134634544E-2</v>
      </c>
      <c r="E162" s="8">
        <f>Parametri!$B$2/SQRT(3)</f>
        <v>1.1547005383792516E-2</v>
      </c>
    </row>
    <row r="163" spans="1:5" x14ac:dyDescent="0.2">
      <c r="A163" s="4">
        <f t="shared" si="5"/>
        <v>322</v>
      </c>
      <c r="B163" s="4">
        <f t="shared" si="4"/>
        <v>5.6199601914217405</v>
      </c>
      <c r="C163" s="4">
        <v>4.0599999999999996</v>
      </c>
      <c r="D163" s="4">
        <f>Parametri!$A$4/SQRT(3)</f>
        <v>1.0076663134634544E-2</v>
      </c>
      <c r="E163" s="8">
        <f>Parametri!$B$2/SQRT(3)</f>
        <v>1.1547005383792516E-2</v>
      </c>
    </row>
    <row r="164" spans="1:5" x14ac:dyDescent="0.2">
      <c r="A164" s="4">
        <f t="shared" si="5"/>
        <v>324</v>
      </c>
      <c r="B164" s="4">
        <f t="shared" si="4"/>
        <v>5.6548667764616276</v>
      </c>
      <c r="C164" s="4">
        <v>4.12</v>
      </c>
      <c r="D164" s="4">
        <f>Parametri!$A$4/SQRT(3)</f>
        <v>1.0076663134634544E-2</v>
      </c>
      <c r="E164" s="8">
        <f>Parametri!$B$2/SQRT(3)</f>
        <v>1.1547005383792516E-2</v>
      </c>
    </row>
    <row r="165" spans="1:5" x14ac:dyDescent="0.2">
      <c r="A165" s="4">
        <f t="shared" si="5"/>
        <v>326</v>
      </c>
      <c r="B165" s="4">
        <f t="shared" si="4"/>
        <v>5.6897733615015138</v>
      </c>
      <c r="C165" s="4">
        <v>4.21</v>
      </c>
      <c r="D165" s="4">
        <f>Parametri!$A$4/SQRT(3)</f>
        <v>1.0076663134634544E-2</v>
      </c>
      <c r="E165" s="8">
        <f>Parametri!$B$2/SQRT(3)</f>
        <v>1.1547005383792516E-2</v>
      </c>
    </row>
    <row r="166" spans="1:5" x14ac:dyDescent="0.2">
      <c r="A166" s="4">
        <f t="shared" si="5"/>
        <v>328</v>
      </c>
      <c r="B166" s="4">
        <f t="shared" si="4"/>
        <v>5.7246799465414</v>
      </c>
      <c r="C166" s="4">
        <v>4.26</v>
      </c>
      <c r="D166" s="4">
        <f>Parametri!$A$4/SQRT(3)</f>
        <v>1.0076663134634544E-2</v>
      </c>
      <c r="E166" s="8">
        <f>Parametri!$B$2/SQRT(3)</f>
        <v>1.1547005383792516E-2</v>
      </c>
    </row>
    <row r="167" spans="1:5" x14ac:dyDescent="0.2">
      <c r="A167" s="4">
        <f t="shared" si="5"/>
        <v>330</v>
      </c>
      <c r="B167" s="4">
        <f t="shared" si="4"/>
        <v>5.7595865315812871</v>
      </c>
      <c r="C167" s="4">
        <v>4.32</v>
      </c>
      <c r="D167" s="4">
        <f>Parametri!$A$4/SQRT(3)</f>
        <v>1.0076663134634544E-2</v>
      </c>
      <c r="E167" s="8">
        <f>Parametri!$B$2/SQRT(3)</f>
        <v>1.1547005383792516E-2</v>
      </c>
    </row>
    <row r="168" spans="1:5" x14ac:dyDescent="0.2">
      <c r="A168" s="4">
        <f t="shared" si="5"/>
        <v>332</v>
      </c>
      <c r="B168" s="4">
        <f t="shared" si="4"/>
        <v>5.7944931166211742</v>
      </c>
      <c r="C168" s="4">
        <v>4.3600000000000003</v>
      </c>
      <c r="D168" s="4">
        <f>Parametri!$A$4/SQRT(3)</f>
        <v>1.0076663134634544E-2</v>
      </c>
      <c r="E168" s="8">
        <f>Parametri!$B$2/SQRT(3)</f>
        <v>1.1547005383792516E-2</v>
      </c>
    </row>
    <row r="169" spans="1:5" x14ac:dyDescent="0.2">
      <c r="A169" s="4">
        <f t="shared" si="5"/>
        <v>334</v>
      </c>
      <c r="B169" s="4">
        <f t="shared" si="4"/>
        <v>5.8293997016610613</v>
      </c>
      <c r="C169" s="4">
        <v>4.41</v>
      </c>
      <c r="D169" s="4">
        <f>Parametri!$A$4/SQRT(3)</f>
        <v>1.0076663134634544E-2</v>
      </c>
      <c r="E169" s="8">
        <f>Parametri!$B$2/SQRT(3)</f>
        <v>1.1547005383792516E-2</v>
      </c>
    </row>
    <row r="170" spans="1:5" x14ac:dyDescent="0.2">
      <c r="A170" s="4">
        <f t="shared" si="5"/>
        <v>336</v>
      </c>
      <c r="B170" s="4">
        <f t="shared" si="4"/>
        <v>5.8643062867009474</v>
      </c>
      <c r="C170" s="4">
        <v>4.47</v>
      </c>
      <c r="D170" s="4">
        <f>Parametri!$A$4/SQRT(3)</f>
        <v>1.0076663134634544E-2</v>
      </c>
      <c r="E170" s="8">
        <f>Parametri!$B$2/SQRT(3)</f>
        <v>1.1547005383792516E-2</v>
      </c>
    </row>
    <row r="171" spans="1:5" x14ac:dyDescent="0.2">
      <c r="A171" s="4">
        <f t="shared" si="5"/>
        <v>338</v>
      </c>
      <c r="B171" s="4">
        <f t="shared" si="4"/>
        <v>5.8992128717408336</v>
      </c>
      <c r="C171" s="4">
        <v>4.49</v>
      </c>
      <c r="D171" s="4">
        <f>Parametri!$A$4/SQRT(3)</f>
        <v>1.0076663134634544E-2</v>
      </c>
      <c r="E171" s="8">
        <f>Parametri!$B$2/SQRT(3)</f>
        <v>1.1547005383792516E-2</v>
      </c>
    </row>
    <row r="172" spans="1:5" x14ac:dyDescent="0.2">
      <c r="A172" s="4">
        <f t="shared" si="5"/>
        <v>340</v>
      </c>
      <c r="B172" s="4">
        <f t="shared" si="4"/>
        <v>5.9341194567807207</v>
      </c>
      <c r="C172" s="4">
        <v>4.53</v>
      </c>
      <c r="D172" s="4">
        <f>Parametri!$A$4/SQRT(3)</f>
        <v>1.0076663134634544E-2</v>
      </c>
      <c r="E172" s="8">
        <f>Parametri!$B$2/SQRT(3)</f>
        <v>1.1547005383792516E-2</v>
      </c>
    </row>
    <row r="173" spans="1:5" x14ac:dyDescent="0.2">
      <c r="A173" s="4">
        <f t="shared" si="5"/>
        <v>342</v>
      </c>
      <c r="B173" s="4">
        <f t="shared" si="4"/>
        <v>5.9690260418206069</v>
      </c>
      <c r="C173" s="4">
        <v>4.58</v>
      </c>
      <c r="D173" s="4">
        <f>Parametri!$A$4/SQRT(3)</f>
        <v>1.0076663134634544E-2</v>
      </c>
      <c r="E173" s="8">
        <f>Parametri!$B$2/SQRT(3)</f>
        <v>1.1547005383792516E-2</v>
      </c>
    </row>
    <row r="174" spans="1:5" x14ac:dyDescent="0.2">
      <c r="A174" s="4">
        <f t="shared" si="5"/>
        <v>344</v>
      </c>
      <c r="B174" s="4">
        <f t="shared" si="4"/>
        <v>6.0039326268604931</v>
      </c>
      <c r="C174" s="4">
        <v>4.6100000000000003</v>
      </c>
      <c r="D174" s="4">
        <f>Parametri!$A$4/SQRT(3)</f>
        <v>1.0076663134634544E-2</v>
      </c>
      <c r="E174" s="8">
        <f>Parametri!$B$2/SQRT(3)</f>
        <v>1.1547005383792516E-2</v>
      </c>
    </row>
    <row r="175" spans="1:5" x14ac:dyDescent="0.2">
      <c r="A175" s="4">
        <f t="shared" si="5"/>
        <v>346</v>
      </c>
      <c r="B175" s="4">
        <f t="shared" si="4"/>
        <v>6.0388392119003802</v>
      </c>
      <c r="C175" s="4">
        <v>4.62</v>
      </c>
      <c r="D175" s="4">
        <f>Parametri!$A$4/SQRT(3)</f>
        <v>1.0076663134634544E-2</v>
      </c>
      <c r="E175" s="8">
        <f>Parametri!$B$2/SQRT(3)</f>
        <v>1.1547005383792516E-2</v>
      </c>
    </row>
    <row r="176" spans="1:5" x14ac:dyDescent="0.2">
      <c r="A176" s="4">
        <f t="shared" si="5"/>
        <v>348</v>
      </c>
      <c r="B176" s="4">
        <f t="shared" si="4"/>
        <v>6.0737457969402664</v>
      </c>
      <c r="C176" s="4">
        <v>4.6500000000000004</v>
      </c>
      <c r="D176" s="4">
        <f>Parametri!$A$4/SQRT(3)</f>
        <v>1.0076663134634544E-2</v>
      </c>
      <c r="E176" s="8">
        <f>Parametri!$B$2/SQRT(3)</f>
        <v>1.1547005383792516E-2</v>
      </c>
    </row>
    <row r="177" spans="1:5" x14ac:dyDescent="0.2">
      <c r="A177" s="4">
        <f t="shared" si="5"/>
        <v>350</v>
      </c>
      <c r="B177" s="4">
        <f t="shared" si="4"/>
        <v>6.1086523819801526</v>
      </c>
      <c r="C177" s="4">
        <v>4.66</v>
      </c>
      <c r="D177" s="4">
        <f>Parametri!$A$4/SQRT(3)</f>
        <v>1.0076663134634544E-2</v>
      </c>
      <c r="E177" s="8">
        <f>Parametri!$B$2/SQRT(3)</f>
        <v>1.1547005383792516E-2</v>
      </c>
    </row>
    <row r="178" spans="1:5" x14ac:dyDescent="0.2">
      <c r="A178" s="4">
        <f t="shared" si="5"/>
        <v>352</v>
      </c>
      <c r="B178" s="4">
        <f t="shared" si="4"/>
        <v>6.1435589670200397</v>
      </c>
      <c r="C178" s="4">
        <v>4.7</v>
      </c>
      <c r="D178" s="4">
        <f>Parametri!$A$4/SQRT(3)</f>
        <v>1.0076663134634544E-2</v>
      </c>
      <c r="E178" s="8">
        <f>Parametri!$B$2/SQRT(3)</f>
        <v>1.1547005383792516E-2</v>
      </c>
    </row>
    <row r="179" spans="1:5" x14ac:dyDescent="0.2">
      <c r="A179" s="4">
        <f t="shared" si="5"/>
        <v>354</v>
      </c>
      <c r="B179" s="4">
        <f t="shared" si="4"/>
        <v>6.1784655520599268</v>
      </c>
      <c r="C179" s="4">
        <v>4.7</v>
      </c>
      <c r="D179" s="4">
        <f>Parametri!$A$4/SQRT(3)</f>
        <v>1.0076663134634544E-2</v>
      </c>
      <c r="E179" s="8">
        <f>Parametri!$B$2/SQRT(3)</f>
        <v>1.1547005383792516E-2</v>
      </c>
    </row>
    <row r="180" spans="1:5" x14ac:dyDescent="0.2">
      <c r="A180" s="4">
        <f t="shared" si="5"/>
        <v>356</v>
      </c>
      <c r="B180" s="4">
        <f t="shared" si="4"/>
        <v>6.2133721370998138</v>
      </c>
      <c r="C180" s="4">
        <v>4.72</v>
      </c>
      <c r="D180" s="4">
        <f>Parametri!$A$4/SQRT(3)</f>
        <v>1.0076663134634544E-2</v>
      </c>
      <c r="E180" s="8">
        <f>Parametri!$B$2/SQRT(3)</f>
        <v>1.1547005383792516E-2</v>
      </c>
    </row>
    <row r="181" spans="1:5" x14ac:dyDescent="0.2">
      <c r="A181" s="4">
        <f>A180+2</f>
        <v>358</v>
      </c>
      <c r="B181" s="4">
        <f t="shared" si="4"/>
        <v>6.2482787221397</v>
      </c>
      <c r="C181" s="4">
        <v>4.74</v>
      </c>
      <c r="D181" s="4">
        <f>Parametri!$A$4/SQRT(3)</f>
        <v>1.0076663134634544E-2</v>
      </c>
      <c r="E181" s="8">
        <f>Parametri!$B$2/SQRT(3)</f>
        <v>1.1547005383792516E-2</v>
      </c>
    </row>
    <row r="182" spans="1:5" x14ac:dyDescent="0.2">
      <c r="A182" s="4">
        <f t="shared" ref="A182:A209" si="6">A181+2</f>
        <v>360</v>
      </c>
      <c r="B182" s="4">
        <f t="shared" si="4"/>
        <v>6.2831853071795862</v>
      </c>
      <c r="C182" s="4">
        <v>4.72</v>
      </c>
      <c r="D182" s="4">
        <f>Parametri!$A$4/SQRT(3)</f>
        <v>1.0076663134634544E-2</v>
      </c>
      <c r="E182" s="8">
        <f>Parametri!$B$2/SQRT(3)</f>
        <v>1.1547005383792516E-2</v>
      </c>
    </row>
    <row r="183" spans="1:5" x14ac:dyDescent="0.2">
      <c r="A183" s="4">
        <f t="shared" si="6"/>
        <v>362</v>
      </c>
      <c r="B183" s="4">
        <f t="shared" si="4"/>
        <v>6.3180918922194724</v>
      </c>
      <c r="C183" s="4">
        <v>4.72</v>
      </c>
      <c r="D183" s="4">
        <f>Parametri!$A$4/SQRT(3)</f>
        <v>1.0076663134634544E-2</v>
      </c>
      <c r="E183" s="8">
        <f>Parametri!$B$2/SQRT(3)</f>
        <v>1.1547005383792516E-2</v>
      </c>
    </row>
    <row r="184" spans="1:5" x14ac:dyDescent="0.2">
      <c r="A184" s="4">
        <f t="shared" si="6"/>
        <v>364</v>
      </c>
      <c r="B184" s="4">
        <f t="shared" si="4"/>
        <v>6.3529984772593595</v>
      </c>
      <c r="C184" s="4">
        <v>4.72</v>
      </c>
      <c r="D184" s="4">
        <f>Parametri!$A$4/SQRT(3)</f>
        <v>1.0076663134634544E-2</v>
      </c>
      <c r="E184" s="8">
        <f>Parametri!$B$2/SQRT(3)</f>
        <v>1.1547005383792516E-2</v>
      </c>
    </row>
    <row r="185" spans="1:5" x14ac:dyDescent="0.2">
      <c r="A185" s="4">
        <f t="shared" si="6"/>
        <v>366</v>
      </c>
      <c r="B185" s="4">
        <f t="shared" si="4"/>
        <v>6.3879050622992457</v>
      </c>
      <c r="C185" s="4">
        <v>4.71</v>
      </c>
      <c r="D185" s="4">
        <f>Parametri!$A$4/SQRT(3)</f>
        <v>1.0076663134634544E-2</v>
      </c>
      <c r="E185" s="8">
        <f>Parametri!$B$2/SQRT(3)</f>
        <v>1.1547005383792516E-2</v>
      </c>
    </row>
    <row r="186" spans="1:5" x14ac:dyDescent="0.2">
      <c r="A186" s="4">
        <f t="shared" si="6"/>
        <v>368</v>
      </c>
      <c r="B186" s="4">
        <f t="shared" si="4"/>
        <v>6.4228116473391319</v>
      </c>
      <c r="C186" s="4">
        <v>4.6900000000000004</v>
      </c>
      <c r="D186" s="4">
        <f>Parametri!$A$4/SQRT(3)</f>
        <v>1.0076663134634544E-2</v>
      </c>
      <c r="E186" s="8">
        <f>Parametri!$B$2/SQRT(3)</f>
        <v>1.1547005383792516E-2</v>
      </c>
    </row>
    <row r="187" spans="1:5" x14ac:dyDescent="0.2">
      <c r="A187" s="4">
        <f t="shared" si="6"/>
        <v>370</v>
      </c>
      <c r="B187" s="4">
        <f t="shared" si="4"/>
        <v>6.457718232379019</v>
      </c>
      <c r="C187" s="4">
        <v>4.68</v>
      </c>
      <c r="D187" s="4">
        <f>Parametri!$A$4/SQRT(3)</f>
        <v>1.0076663134634544E-2</v>
      </c>
      <c r="E187" s="8">
        <f>Parametri!$B$2/SQRT(3)</f>
        <v>1.1547005383792516E-2</v>
      </c>
    </row>
    <row r="188" spans="1:5" x14ac:dyDescent="0.2">
      <c r="A188" s="4">
        <f t="shared" si="6"/>
        <v>372</v>
      </c>
      <c r="B188" s="4">
        <f t="shared" si="4"/>
        <v>6.4926248174189052</v>
      </c>
      <c r="C188" s="4">
        <v>4.6399999999999997</v>
      </c>
      <c r="D188" s="4">
        <f>Parametri!$A$4/SQRT(3)</f>
        <v>1.0076663134634544E-2</v>
      </c>
      <c r="E188" s="8">
        <f>Parametri!$B$2/SQRT(3)</f>
        <v>1.1547005383792516E-2</v>
      </c>
    </row>
    <row r="189" spans="1:5" x14ac:dyDescent="0.2">
      <c r="A189" s="4">
        <f t="shared" si="6"/>
        <v>374</v>
      </c>
      <c r="B189" s="4">
        <f t="shared" si="4"/>
        <v>6.5275314024587932</v>
      </c>
      <c r="C189" s="4">
        <v>4.6100000000000003</v>
      </c>
      <c r="D189" s="4">
        <f>Parametri!$A$4/SQRT(3)</f>
        <v>1.0076663134634544E-2</v>
      </c>
      <c r="E189" s="8">
        <f>Parametri!$B$2/SQRT(3)</f>
        <v>1.1547005383792516E-2</v>
      </c>
    </row>
    <row r="190" spans="1:5" x14ac:dyDescent="0.2">
      <c r="A190" s="4">
        <f t="shared" si="6"/>
        <v>376</v>
      </c>
      <c r="B190" s="4">
        <f t="shared" si="4"/>
        <v>6.5624379874986793</v>
      </c>
      <c r="C190" s="4">
        <v>4.58</v>
      </c>
      <c r="D190" s="4">
        <f>Parametri!$A$4/SQRT(3)</f>
        <v>1.0076663134634544E-2</v>
      </c>
      <c r="E190" s="8">
        <f>Parametri!$B$2/SQRT(3)</f>
        <v>1.1547005383792516E-2</v>
      </c>
    </row>
    <row r="191" spans="1:5" x14ac:dyDescent="0.2">
      <c r="A191" s="4">
        <f t="shared" si="6"/>
        <v>378</v>
      </c>
      <c r="B191" s="4">
        <f t="shared" si="4"/>
        <v>6.5973445725385655</v>
      </c>
      <c r="C191" s="4">
        <v>4.5599999999999996</v>
      </c>
      <c r="D191" s="4">
        <f>Parametri!$A$4/SQRT(3)</f>
        <v>1.0076663134634544E-2</v>
      </c>
      <c r="E191" s="8">
        <f>Parametri!$B$2/SQRT(3)</f>
        <v>1.1547005383792516E-2</v>
      </c>
    </row>
    <row r="192" spans="1:5" x14ac:dyDescent="0.2">
      <c r="A192" s="4">
        <f t="shared" si="6"/>
        <v>380</v>
      </c>
      <c r="B192" s="4">
        <f t="shared" si="4"/>
        <v>6.6322511575784526</v>
      </c>
      <c r="C192" s="4">
        <v>4.5199999999999996</v>
      </c>
      <c r="D192" s="4">
        <f>Parametri!$A$4/SQRT(3)</f>
        <v>1.0076663134634544E-2</v>
      </c>
      <c r="E192" s="8">
        <f>Parametri!$B$2/SQRT(3)</f>
        <v>1.1547005383792516E-2</v>
      </c>
    </row>
    <row r="193" spans="1:5" x14ac:dyDescent="0.2">
      <c r="A193" s="4">
        <f t="shared" si="6"/>
        <v>382</v>
      </c>
      <c r="B193" s="4">
        <f t="shared" si="4"/>
        <v>6.6671577426183388</v>
      </c>
      <c r="C193" s="4">
        <v>4.46</v>
      </c>
      <c r="D193" s="4">
        <f>Parametri!$A$4/SQRT(3)</f>
        <v>1.0076663134634544E-2</v>
      </c>
      <c r="E193" s="8">
        <f>Parametri!$B$2/SQRT(3)</f>
        <v>1.1547005383792516E-2</v>
      </c>
    </row>
    <row r="194" spans="1:5" x14ac:dyDescent="0.2">
      <c r="A194" s="4">
        <f t="shared" si="6"/>
        <v>384</v>
      </c>
      <c r="B194" s="4">
        <f t="shared" si="4"/>
        <v>6.702064327658225</v>
      </c>
      <c r="C194" s="4">
        <v>4.42</v>
      </c>
      <c r="D194" s="4">
        <f>Parametri!$A$4/SQRT(3)</f>
        <v>1.0076663134634544E-2</v>
      </c>
      <c r="E194" s="8">
        <f>Parametri!$B$2/SQRT(3)</f>
        <v>1.1547005383792516E-2</v>
      </c>
    </row>
    <row r="195" spans="1:5" x14ac:dyDescent="0.2">
      <c r="A195" s="4">
        <f t="shared" si="6"/>
        <v>386</v>
      </c>
      <c r="B195" s="4">
        <f t="shared" ref="B195:B202" si="7">A195*PI()/180</f>
        <v>6.7369709126981121</v>
      </c>
      <c r="C195" s="4">
        <v>4.37</v>
      </c>
      <c r="D195" s="4">
        <f>Parametri!$A$4/SQRT(3)</f>
        <v>1.0076663134634544E-2</v>
      </c>
      <c r="E195" s="8">
        <f>Parametri!$B$2/SQRT(3)</f>
        <v>1.1547005383792516E-2</v>
      </c>
    </row>
    <row r="196" spans="1:5" x14ac:dyDescent="0.2">
      <c r="A196" s="4">
        <f t="shared" si="6"/>
        <v>388</v>
      </c>
      <c r="B196" s="4">
        <f t="shared" si="7"/>
        <v>6.7718774977379983</v>
      </c>
      <c r="C196" s="4">
        <v>4.32</v>
      </c>
      <c r="D196" s="4">
        <f>Parametri!$A$4/SQRT(3)</f>
        <v>1.0076663134634544E-2</v>
      </c>
      <c r="E196" s="8">
        <f>Parametri!$B$2/SQRT(3)</f>
        <v>1.1547005383792516E-2</v>
      </c>
    </row>
    <row r="197" spans="1:5" x14ac:dyDescent="0.2">
      <c r="A197" s="4">
        <f t="shared" si="6"/>
        <v>390</v>
      </c>
      <c r="B197" s="4">
        <f t="shared" si="7"/>
        <v>6.8067840827778845</v>
      </c>
      <c r="C197" s="4">
        <v>4.26</v>
      </c>
      <c r="D197" s="4">
        <f>Parametri!$A$4/SQRT(3)</f>
        <v>1.0076663134634544E-2</v>
      </c>
      <c r="E197" s="8">
        <f>Parametri!$B$2/SQRT(3)</f>
        <v>1.1547005383792516E-2</v>
      </c>
    </row>
    <row r="198" spans="1:5" x14ac:dyDescent="0.2">
      <c r="A198" s="4">
        <f t="shared" si="6"/>
        <v>392</v>
      </c>
      <c r="B198" s="4">
        <f t="shared" si="7"/>
        <v>6.8416906678177716</v>
      </c>
      <c r="C198" s="4">
        <v>4.2</v>
      </c>
      <c r="D198" s="4">
        <f>Parametri!$A$4/SQRT(3)</f>
        <v>1.0076663134634544E-2</v>
      </c>
      <c r="E198" s="8">
        <f>Parametri!$B$2/SQRT(3)</f>
        <v>1.1547005383792516E-2</v>
      </c>
    </row>
    <row r="199" spans="1:5" x14ac:dyDescent="0.2">
      <c r="A199" s="4">
        <f t="shared" si="6"/>
        <v>394</v>
      </c>
      <c r="B199" s="4">
        <f t="shared" si="7"/>
        <v>6.8765972528576578</v>
      </c>
      <c r="C199" s="4">
        <v>4.1500000000000004</v>
      </c>
      <c r="D199" s="4">
        <f>Parametri!$A$4/SQRT(3)</f>
        <v>1.0076663134634544E-2</v>
      </c>
      <c r="E199" s="8">
        <f>Parametri!$B$2/SQRT(3)</f>
        <v>1.1547005383792516E-2</v>
      </c>
    </row>
    <row r="200" spans="1:5" x14ac:dyDescent="0.2">
      <c r="A200" s="4">
        <f t="shared" si="6"/>
        <v>396</v>
      </c>
      <c r="B200" s="4">
        <f t="shared" si="7"/>
        <v>6.9115038378975457</v>
      </c>
      <c r="C200" s="4">
        <v>4.0999999999999996</v>
      </c>
      <c r="D200" s="4">
        <f>Parametri!$A$4/SQRT(3)</f>
        <v>1.0076663134634544E-2</v>
      </c>
      <c r="E200" s="8">
        <f>Parametri!$B$2/SQRT(3)</f>
        <v>1.1547005383792516E-2</v>
      </c>
    </row>
    <row r="201" spans="1:5" x14ac:dyDescent="0.2">
      <c r="A201" s="4">
        <f t="shared" si="6"/>
        <v>398</v>
      </c>
      <c r="B201" s="4">
        <f t="shared" si="7"/>
        <v>6.9464104229374319</v>
      </c>
      <c r="C201" s="4">
        <v>4.05</v>
      </c>
      <c r="D201" s="4">
        <f>Parametri!$A$4/SQRT(3)</f>
        <v>1.0076663134634544E-2</v>
      </c>
      <c r="E201" s="8">
        <f>Parametri!$B$2/SQRT(3)</f>
        <v>1.1547005383792516E-2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e3c69ea4484af81787e2f2ca5b7c2d90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e2990c14f9044d85e8ac9d5a1ddf0edc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A618C-7A9D-4379-AAA1-B40868AE9C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2030C1-2942-4CC8-A44F-90DD685C420F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21343963-c43f-42a4-b0bc-b203e64410f4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D9A5AB-399B-4BA4-A0D6-B499A2ECE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Parametri</vt:lpstr>
      <vt:lpstr>Dati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Manuele Mirolo</dc:creator>
  <cp:keywords/>
  <dc:description/>
  <cp:lastModifiedBy>Alessio Brusini</cp:lastModifiedBy>
  <cp:revision/>
  <dcterms:created xsi:type="dcterms:W3CDTF">2026-10-27T07:05:10Z</dcterms:created>
  <dcterms:modified xsi:type="dcterms:W3CDTF">2026-10-30T15:28:35Z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